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Mian Abdul Mateen\Downloads\"/>
    </mc:Choice>
  </mc:AlternateContent>
  <xr:revisionPtr revIDLastSave="0" documentId="13_ncr:1_{E3146162-53ED-45BC-983A-9F3EFFD4B0D1}"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3" i="1" l="1"/>
  <c r="O33" i="1"/>
</calcChain>
</file>

<file path=xl/sharedStrings.xml><?xml version="1.0" encoding="utf-8"?>
<sst xmlns="http://schemas.openxmlformats.org/spreadsheetml/2006/main" count="370" uniqueCount="157">
  <si>
    <t>Response No:</t>
  </si>
  <si>
    <t>Timestamp</t>
  </si>
  <si>
    <t>Email Address</t>
  </si>
  <si>
    <t>What's your name?</t>
  </si>
  <si>
    <t xml:space="preserve">How likely are you to replay a scene just because of the sound/music? 🎶💫  </t>
  </si>
  <si>
    <t xml:space="preserve">  On a scale of 1–5, how much do you think sound enhances your overall gaming experience?  </t>
  </si>
  <si>
    <t>monkeytenacious@gmail.com</t>
  </si>
  <si>
    <t>Chootu kaka</t>
  </si>
  <si>
    <t>18-24</t>
  </si>
  <si>
    <t>Male</t>
  </si>
  <si>
    <t>Often</t>
  </si>
  <si>
    <t>Because, it prevents you from getting distracted and boared. I have played games just because I liked their music. For example GTA San Andreas opening music.</t>
  </si>
  <si>
    <t>Always — sound is half the experience</t>
  </si>
  <si>
    <t>https://drive.google.com/open?id=1i-PTztNmzlPGCSa93KOLDiUDrB9jsbw5</t>
  </si>
  <si>
    <t>Heart attack, thanks</t>
  </si>
  <si>
    <t xml:space="preserve">GTA San Andreas </t>
  </si>
  <si>
    <t>Chilling like a boss 😎</t>
  </si>
  <si>
    <t>farahmaqsood90@gmail.com</t>
  </si>
  <si>
    <t>Farah</t>
  </si>
  <si>
    <t>35-44</t>
  </si>
  <si>
    <t>Female</t>
  </si>
  <si>
    <t>Das</t>
  </si>
  <si>
    <t>Depends on where I am (public, home, etc.)</t>
  </si>
  <si>
    <t>Hei</t>
  </si>
  <si>
    <t>meenasif321@gmail.com</t>
  </si>
  <si>
    <t>Rahmeen Asif</t>
  </si>
  <si>
    <t>25-34</t>
  </si>
  <si>
    <t>It increases our focus on game</t>
  </si>
  <si>
    <t>Rarely, I play on mute</t>
  </si>
  <si>
    <t>Quick reflexes: mute button speedrun</t>
  </si>
  <si>
    <t>Don’t remember any</t>
  </si>
  <si>
    <t>Turning it off immediately 🙈</t>
  </si>
  <si>
    <t>nmaniha14@gmail.com</t>
  </si>
  <si>
    <t xml:space="preserve">Maniha naeem </t>
  </si>
  <si>
    <t>Under 18</t>
  </si>
  <si>
    <t>Always</t>
  </si>
  <si>
    <t>No</t>
  </si>
  <si>
    <t>Depends on the vibe</t>
  </si>
  <si>
    <t>Subway surfer</t>
  </si>
  <si>
    <t>meerabtausif10@gmail.com</t>
  </si>
  <si>
    <t xml:space="preserve">Meerab Tausif </t>
  </si>
  <si>
    <t xml:space="preserve">To make it real </t>
  </si>
  <si>
    <t>Most of the time</t>
  </si>
  <si>
    <t>Hill climb</t>
  </si>
  <si>
    <t>Walking in slow motion 🚶</t>
  </si>
  <si>
    <t>mayedaqamar249@gmail.com</t>
  </si>
  <si>
    <t xml:space="preserve">Mayeda Qamar </t>
  </si>
  <si>
    <t xml:space="preserve">Sound makes the game world feel real </t>
  </si>
  <si>
    <t xml:space="preserve">Subway surfers </t>
  </si>
  <si>
    <t>Running into battle (aka exams) 😂</t>
  </si>
  <si>
    <t>muhammadkonain013@gmail.com</t>
  </si>
  <si>
    <t>Mr. Nobody</t>
  </si>
  <si>
    <t>45 and above</t>
  </si>
  <si>
    <t xml:space="preserve">To visualise more better and get good haptic feedback. </t>
  </si>
  <si>
    <t>Granny x Grampa 😏</t>
  </si>
  <si>
    <t>l255613@lhr.nu.edu.pk</t>
  </si>
  <si>
    <t>Daniyal</t>
  </si>
  <si>
    <t>Rarely</t>
  </si>
  <si>
    <t>It keeps us engaged in the game.</t>
  </si>
  <si>
    <t>Pubg</t>
  </si>
  <si>
    <t>zs789118@gmail.com</t>
  </si>
  <si>
    <t xml:space="preserve">Zainabshaikh </t>
  </si>
  <si>
    <t>I don't like sound in games</t>
  </si>
  <si>
    <t>Kinda fun, not gonna lie</t>
  </si>
  <si>
    <t xml:space="preserve">I don't like sounds in game </t>
  </si>
  <si>
    <t>fayezjamshed26@gmail.com</t>
  </si>
  <si>
    <t>Fayez</t>
  </si>
  <si>
    <t>Sound is vital in gaming because it makes the experience more real and engaging. It sets the mood, builds tension, and helps players connect emotionally while giving important clues during gameplay.</t>
  </si>
  <si>
    <t>Not in mind</t>
  </si>
  <si>
    <t>zehrabatool727@gmail.com</t>
  </si>
  <si>
    <t>Sairaa</t>
  </si>
  <si>
    <t xml:space="preserve">Yes it is important for gaining interest </t>
  </si>
  <si>
    <t>Subway surfers</t>
  </si>
  <si>
    <t>hammadaamir488@gmail.com</t>
  </si>
  <si>
    <t>M. Hammad Aamir</t>
  </si>
  <si>
    <t>It plays an important role in gaming because while playing games like esports games footstep sound is very necessary and in story mode game sound gives next level experience you don’t get bored</t>
  </si>
  <si>
    <t>Last of us</t>
  </si>
  <si>
    <t>amir.naseer1971@gmail.com</t>
  </si>
  <si>
    <t>Amir Naseer</t>
  </si>
  <si>
    <t xml:space="preserve">To create focus </t>
  </si>
  <si>
    <t>Clash Royal</t>
  </si>
  <si>
    <t>usamajaved142@gmail.com</t>
  </si>
  <si>
    <t xml:space="preserve">Usama Javed </t>
  </si>
  <si>
    <t>Sounds bring feeling to a game</t>
  </si>
  <si>
    <t>Prince of persia the sand game</t>
  </si>
  <si>
    <t>taybazeeshan@gmail.com</t>
  </si>
  <si>
    <t xml:space="preserve">Tayba Zeeshan </t>
  </si>
  <si>
    <t>It enhance the game impact.</t>
  </si>
  <si>
    <t>Dunk shot</t>
  </si>
  <si>
    <t>madamhafsa526@gmail.com</t>
  </si>
  <si>
    <t>Hafsa</t>
  </si>
  <si>
    <t>I dont think</t>
  </si>
  <si>
    <t>sajeelaamir491@gmail.com</t>
  </si>
  <si>
    <t xml:space="preserve">Sajeel Aamir </t>
  </si>
  <si>
    <t xml:space="preserve">It is extremely important as it give more precise gameplay </t>
  </si>
  <si>
    <t xml:space="preserve">God of war Ragnarok </t>
  </si>
  <si>
    <t>annsnoor617@gmail.com</t>
  </si>
  <si>
    <t xml:space="preserve">Muhammad Anns Noor </t>
  </si>
  <si>
    <t>It increases the joy.</t>
  </si>
  <si>
    <t>Subway surfers theme music is the one that I will forget.</t>
  </si>
  <si>
    <t>abrishistic@gmail.com</t>
  </si>
  <si>
    <t>Abrish</t>
  </si>
  <si>
    <t>Keeps mind fresh</t>
  </si>
  <si>
    <t>https://drive.google.com/open?id=140C_yAm53DKpVmDim5ptPCF9wtrQ4Nur</t>
  </si>
  <si>
    <t>shumaizaamalik056@gmail.com</t>
  </si>
  <si>
    <t xml:space="preserve">Shumaiza </t>
  </si>
  <si>
    <t>Gaming room and Gaming skills</t>
  </si>
  <si>
    <t>Sniper 3D</t>
  </si>
  <si>
    <t>eshalkashif994@gmail.com</t>
  </si>
  <si>
    <t xml:space="preserve">Eshal Kashif </t>
  </si>
  <si>
    <t>Sound is important in games because it creates atmosphere and makes the gameplay more realistic and engaging.</t>
  </si>
  <si>
    <t xml:space="preserve">Subway surfer's </t>
  </si>
  <si>
    <t>f4fff4f@gmail.com</t>
  </si>
  <si>
    <t>Farhan</t>
  </si>
  <si>
    <t>Not sure</t>
  </si>
  <si>
    <t>Street fight old 90's</t>
  </si>
  <si>
    <t>fizakashif006@gmail.com</t>
  </si>
  <si>
    <t xml:space="preserve">Maryam </t>
  </si>
  <si>
    <t xml:space="preserve">Yeah maybe </t>
  </si>
  <si>
    <t>GTA</t>
  </si>
  <si>
    <t>ahmadkashifminecraft@gmail.com</t>
  </si>
  <si>
    <t>Mr prism</t>
  </si>
  <si>
    <t>Because it's fun</t>
  </si>
  <si>
    <t>Roblox</t>
  </si>
  <si>
    <t>maidafarhan2025@gmail.com</t>
  </si>
  <si>
    <t xml:space="preserve">Maida Farhan </t>
  </si>
  <si>
    <t xml:space="preserve">To relax </t>
  </si>
  <si>
    <t xml:space="preserve">Tomb of the mask </t>
  </si>
  <si>
    <t>sarimhassan8@gmail.com</t>
  </si>
  <si>
    <t xml:space="preserve">Sarim </t>
  </si>
  <si>
    <t>Never</t>
  </si>
  <si>
    <t xml:space="preserve">Sound enhances the gaming experience </t>
  </si>
  <si>
    <t>Super Mario 🙃</t>
  </si>
  <si>
    <t>mubashiraaqeel127@gmail.com</t>
  </si>
  <si>
    <t xml:space="preserve">Mubashira Aqeel </t>
  </si>
  <si>
    <t>To creating focus and maintaining interest</t>
  </si>
  <si>
    <t>Subway suffer</t>
  </si>
  <si>
    <t>saaiqahmedfarhan@gmail.com</t>
  </si>
  <si>
    <t xml:space="preserve">Saaiq Ahmed </t>
  </si>
  <si>
    <t>That keeps you alert and active while playing game</t>
  </si>
  <si>
    <t xml:space="preserve">Tomb of mask </t>
  </si>
  <si>
    <t>tayyabfareed064@gmail.com</t>
  </si>
  <si>
    <t>HUMAN</t>
  </si>
  <si>
    <t xml:space="preserve">HARAM BROTHER </t>
  </si>
  <si>
    <t xml:space="preserve">super mario (tubuttt tubuttt tubutttt taaaaaaaa) </t>
  </si>
  <si>
    <t xml:space="preserve">How often do you listen to music while using digital platforms (apps, games, or websites)?  </t>
  </si>
  <si>
    <t xml:space="preserve">  Why do you think sound is important in gaming? </t>
  </si>
  <si>
    <t xml:space="preserve">How often do you play games with the sound ON?  </t>
  </si>
  <si>
    <t>Upload your best score in any game</t>
  </si>
  <si>
    <t xml:space="preserve">What’s one game whose sound you’ll never forget? </t>
  </si>
  <si>
    <t xml:space="preserve">If your favorite game’s background music played in real life, what would you be doing? </t>
  </si>
  <si>
    <t>How do you feel when an app suddenly blasts loud music with no warning?</t>
  </si>
  <si>
    <t>Age group</t>
  </si>
  <si>
    <t xml:space="preserve">  Gender</t>
  </si>
  <si>
    <t>Impact of Game Sound and Music on Players Experience (Survey)</t>
  </si>
  <si>
    <t>Average:</t>
  </si>
  <si>
    <t>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</si>
</sst>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9" x14ac:knownFonts="1">
    <font>
      <sz val="10"/>
      <color rgb="FF000000"/>
      <name val="Arial"/>
      <scheme val="minor"/>
    </font>
    <font>
      <sz val="10"/>
      <color theme="1"/>
      <name val="Arial"/>
      <scheme val="minor"/>
    </font>
    <font>
      <u/>
      <sz val="10"/>
      <color rgb="FF0000FF"/>
      <name val="Roboto"/>
    </font>
    <font>
      <sz val="10"/>
      <color theme="1"/>
      <name val="Arial"/>
      <family val="2"/>
      <scheme val="minor"/>
    </font>
    <font>
      <b/>
      <sz val="10"/>
      <color theme="0"/>
      <name val="Bahnschrift"/>
      <family val="2"/>
    </font>
    <font>
      <sz val="10"/>
      <color rgb="FF000000"/>
      <name val="Bahnschrift"/>
      <family val="2"/>
    </font>
    <font>
      <b/>
      <sz val="18"/>
      <color theme="0"/>
      <name val="Bahnschrift"/>
      <family val="2"/>
    </font>
    <font>
      <b/>
      <sz val="10"/>
      <color theme="1"/>
      <name val="Arial"/>
      <family val="2"/>
      <scheme val="minor"/>
    </font>
    <font>
      <b/>
      <sz val="10"/>
      <color rgb="FF000000"/>
      <name val="Arial"/>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1">
    <xf numFmtId="0" fontId="0" fillId="0" borderId="0"/>
  </cellStyleXfs>
  <cellXfs count="34">
    <xf numFmtId="0" fontId="0" fillId="0" borderId="0" xfId="0"/>
    <xf numFmtId="0" fontId="0" fillId="0" borderId="1" xfId="0" applyBorder="1"/>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xf numFmtId="0" fontId="0" fillId="2" borderId="2" xfId="0" applyFill="1" applyBorder="1"/>
    <xf numFmtId="0" fontId="0" fillId="3" borderId="6" xfId="0" applyFill="1" applyBorder="1"/>
    <xf numFmtId="0" fontId="0" fillId="3" borderId="2" xfId="0" applyFill="1" applyBorder="1"/>
    <xf numFmtId="0" fontId="0" fillId="3" borderId="1" xfId="0" applyFill="1" applyBorder="1"/>
    <xf numFmtId="0" fontId="6" fillId="2" borderId="9"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0" fillId="0" borderId="1" xfId="0" applyBorder="1" applyAlignment="1">
      <alignment horizontal="center" vertical="center"/>
    </xf>
    <xf numFmtId="0" fontId="3" fillId="0" borderId="11" xfId="0" applyFont="1" applyBorder="1" applyAlignment="1">
      <alignment horizontal="center"/>
    </xf>
    <xf numFmtId="0" fontId="1" fillId="0" borderId="4" xfId="0" applyFont="1" applyBorder="1" applyAlignment="1">
      <alignment horizontal="center"/>
    </xf>
    <xf numFmtId="0" fontId="1" fillId="0" borderId="4" xfId="0" applyFont="1" applyBorder="1" applyAlignment="1">
      <alignment horizontal="center" wrapText="1"/>
    </xf>
    <xf numFmtId="0" fontId="8" fillId="5"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5" borderId="9" xfId="0" applyFont="1" applyFill="1" applyBorder="1" applyAlignment="1">
      <alignment horizontal="center" vertical="center"/>
    </xf>
  </cellXfs>
  <cellStyles count="1">
    <cellStyle name="Normal" xfId="0" builtinId="0"/>
  </cellStyles>
  <dxfs count="35">
    <dxf>
      <font>
        <b val="0"/>
        <i val="0"/>
        <strike val="0"/>
        <condense val="0"/>
        <extend val="0"/>
        <outline val="0"/>
        <shadow val="0"/>
        <u val="none"/>
        <vertAlign val="baseline"/>
        <sz val="10"/>
        <color theme="1"/>
        <name val="Arial"/>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scheme val="minor"/>
      </font>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0"/>
        <color theme="1"/>
        <name val="Arial"/>
        <family val="2"/>
        <scheme val="minor"/>
      </font>
      <fill>
        <patternFill patternType="solid">
          <fgColor indexed="64"/>
          <bgColor theme="9" tint="0.399975585192419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0"/>
        <color rgb="FF000000"/>
        <name val="Arial"/>
        <family val="2"/>
        <scheme val="minor"/>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outline="0">
        <left/>
        <right style="thin">
          <color indexed="64"/>
        </right>
        <top style="thin">
          <color indexed="64"/>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font>
        <b val="0"/>
      </font>
      <border diagonalUp="0" diagonalDown="0" outline="0">
        <left/>
        <right style="thin">
          <color indexed="64"/>
        </right>
        <top style="thin">
          <color indexed="64"/>
        </top>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0"/>
        <color theme="0"/>
        <name val="Bahnschrift"/>
        <scheme val="none"/>
      </font>
      <border diagonalUp="0" diagonalDown="0" outline="0">
        <left style="thin">
          <color indexed="64"/>
        </left>
        <right style="thin">
          <color indexed="64"/>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4"/>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913938426318489E-2"/>
          <c:y val="0.44188568095654712"/>
          <c:w val="0.93888888888888888"/>
          <c:h val="0.5272265966754156"/>
        </c:manualLayout>
      </c:layout>
      <c:pie3DChart>
        <c:varyColors val="1"/>
        <c:ser>
          <c:idx val="0"/>
          <c:order val="0"/>
          <c:tx>
            <c:strRef>
              <c:f>'Form Responses 1'!$I$3</c:f>
              <c:strCache>
                <c:ptCount val="1"/>
                <c:pt idx="0">
                  <c:v>How likely are you to replay a scene just because of the sound/music? 🎶💫  </c:v>
                </c:pt>
              </c:strCache>
            </c:strRef>
          </c:tx>
          <c:explosion val="3"/>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extLst>
              <c:ext xmlns:c16="http://schemas.microsoft.com/office/drawing/2014/chart" uri="{C3380CC4-5D6E-409C-BE32-E72D297353CC}">
                <c16:uniqueId val="{00000001-C444-4ECB-ACC7-3445090D314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extLst>
              <c:ext xmlns:c16="http://schemas.microsoft.com/office/drawing/2014/chart" uri="{C3380CC4-5D6E-409C-BE32-E72D297353CC}">
                <c16:uniqueId val="{00000003-C444-4ECB-ACC7-3445090D314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a:noFill/>
              </a:ln>
              <a:effectLst/>
              <a:sp3d/>
            </c:spPr>
            <c:extLst>
              <c:ext xmlns:c16="http://schemas.microsoft.com/office/drawing/2014/chart" uri="{C3380CC4-5D6E-409C-BE32-E72D297353CC}">
                <c16:uniqueId val="{00000005-C444-4ECB-ACC7-3445090D314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a:effectLst/>
              <a:sp3d/>
            </c:spPr>
            <c:extLst>
              <c:ext xmlns:c16="http://schemas.microsoft.com/office/drawing/2014/chart" uri="{C3380CC4-5D6E-409C-BE32-E72D297353CC}">
                <c16:uniqueId val="{00000007-C444-4ECB-ACC7-3445090D314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a:noFill/>
              </a:ln>
              <a:effectLst/>
              <a:sp3d/>
            </c:spPr>
            <c:extLst>
              <c:ext xmlns:c16="http://schemas.microsoft.com/office/drawing/2014/chart" uri="{C3380CC4-5D6E-409C-BE32-E72D297353CC}">
                <c16:uniqueId val="{00000009-C444-4ECB-ACC7-3445090D314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sp3d/>
            </c:spPr>
            <c:extLst>
              <c:ext xmlns:c16="http://schemas.microsoft.com/office/drawing/2014/chart" uri="{C3380CC4-5D6E-409C-BE32-E72D297353CC}">
                <c16:uniqueId val="{0000000B-C444-4ECB-ACC7-3445090D314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0D-C444-4ECB-ACC7-3445090D314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0F-C444-4ECB-ACC7-3445090D314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11-C444-4ECB-ACC7-3445090D314B}"/>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13-C444-4ECB-ACC7-3445090D314B}"/>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15-C444-4ECB-ACC7-3445090D314B}"/>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a:noFill/>
              </a:ln>
              <a:effectLst/>
              <a:sp3d/>
            </c:spPr>
            <c:extLst>
              <c:ext xmlns:c16="http://schemas.microsoft.com/office/drawing/2014/chart" uri="{C3380CC4-5D6E-409C-BE32-E72D297353CC}">
                <c16:uniqueId val="{00000017-C444-4ECB-ACC7-3445090D314B}"/>
              </c:ext>
            </c:extLst>
          </c:dPt>
          <c:dPt>
            <c:idx val="12"/>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a:noFill/>
              </a:ln>
              <a:effectLst/>
              <a:sp3d/>
            </c:spPr>
            <c:extLst>
              <c:ext xmlns:c16="http://schemas.microsoft.com/office/drawing/2014/chart" uri="{C3380CC4-5D6E-409C-BE32-E72D297353CC}">
                <c16:uniqueId val="{00000019-C444-4ECB-ACC7-3445090D314B}"/>
              </c:ext>
            </c:extLst>
          </c:dPt>
          <c:dPt>
            <c:idx val="13"/>
            <c:bubble3D val="0"/>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a:noFill/>
              </a:ln>
              <a:effectLst/>
              <a:sp3d/>
            </c:spPr>
            <c:extLst>
              <c:ext xmlns:c16="http://schemas.microsoft.com/office/drawing/2014/chart" uri="{C3380CC4-5D6E-409C-BE32-E72D297353CC}">
                <c16:uniqueId val="{0000001B-C444-4ECB-ACC7-3445090D314B}"/>
              </c:ext>
            </c:extLst>
          </c:dPt>
          <c:dPt>
            <c:idx val="14"/>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a:noFill/>
              </a:ln>
              <a:effectLst/>
              <a:sp3d/>
            </c:spPr>
            <c:extLst>
              <c:ext xmlns:c16="http://schemas.microsoft.com/office/drawing/2014/chart" uri="{C3380CC4-5D6E-409C-BE32-E72D297353CC}">
                <c16:uniqueId val="{0000001D-C444-4ECB-ACC7-3445090D314B}"/>
              </c:ext>
            </c:extLst>
          </c:dPt>
          <c:dPt>
            <c:idx val="15"/>
            <c:bubble3D val="0"/>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a:noFill/>
              </a:ln>
              <a:effectLst/>
              <a:sp3d/>
            </c:spPr>
            <c:extLst>
              <c:ext xmlns:c16="http://schemas.microsoft.com/office/drawing/2014/chart" uri="{C3380CC4-5D6E-409C-BE32-E72D297353CC}">
                <c16:uniqueId val="{0000001F-C444-4ECB-ACC7-3445090D314B}"/>
              </c:ext>
            </c:extLst>
          </c:dPt>
          <c:dPt>
            <c:idx val="16"/>
            <c:bubble3D val="0"/>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a:noFill/>
              </a:ln>
              <a:effectLst/>
              <a:sp3d/>
            </c:spPr>
            <c:extLst>
              <c:ext xmlns:c16="http://schemas.microsoft.com/office/drawing/2014/chart" uri="{C3380CC4-5D6E-409C-BE32-E72D297353CC}">
                <c16:uniqueId val="{00000021-C444-4ECB-ACC7-3445090D314B}"/>
              </c:ext>
            </c:extLst>
          </c:dPt>
          <c:dPt>
            <c:idx val="17"/>
            <c:bubble3D val="0"/>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a:noFill/>
              </a:ln>
              <a:effectLst/>
              <a:sp3d/>
            </c:spPr>
            <c:extLst>
              <c:ext xmlns:c16="http://schemas.microsoft.com/office/drawing/2014/chart" uri="{C3380CC4-5D6E-409C-BE32-E72D297353CC}">
                <c16:uniqueId val="{00000023-C444-4ECB-ACC7-3445090D314B}"/>
              </c:ext>
            </c:extLst>
          </c:dPt>
          <c:dPt>
            <c:idx val="18"/>
            <c:bubble3D val="0"/>
            <c:spPr>
              <a:gradFill rotWithShape="1">
                <a:gsLst>
                  <a:gs pos="0">
                    <a:schemeClr val="accent1">
                      <a:lumMod val="80000"/>
                      <a:lumMod val="110000"/>
                      <a:satMod val="105000"/>
                      <a:tint val="67000"/>
                    </a:schemeClr>
                  </a:gs>
                  <a:gs pos="50000">
                    <a:schemeClr val="accent1">
                      <a:lumMod val="80000"/>
                      <a:lumMod val="105000"/>
                      <a:satMod val="103000"/>
                      <a:tint val="73000"/>
                    </a:schemeClr>
                  </a:gs>
                  <a:gs pos="100000">
                    <a:schemeClr val="accent1">
                      <a:lumMod val="80000"/>
                      <a:lumMod val="105000"/>
                      <a:satMod val="109000"/>
                      <a:tint val="81000"/>
                    </a:schemeClr>
                  </a:gs>
                </a:gsLst>
                <a:lin ang="5400000" scaled="0"/>
              </a:gradFill>
              <a:ln>
                <a:noFill/>
              </a:ln>
              <a:effectLst/>
              <a:sp3d/>
            </c:spPr>
            <c:extLst>
              <c:ext xmlns:c16="http://schemas.microsoft.com/office/drawing/2014/chart" uri="{C3380CC4-5D6E-409C-BE32-E72D297353CC}">
                <c16:uniqueId val="{00000025-C444-4ECB-ACC7-3445090D314B}"/>
              </c:ext>
            </c:extLst>
          </c:dPt>
          <c:dPt>
            <c:idx val="19"/>
            <c:bubble3D val="0"/>
            <c:spPr>
              <a:gradFill rotWithShape="1">
                <a:gsLst>
                  <a:gs pos="0">
                    <a:schemeClr val="accent2">
                      <a:lumMod val="80000"/>
                      <a:lumMod val="110000"/>
                      <a:satMod val="105000"/>
                      <a:tint val="67000"/>
                    </a:schemeClr>
                  </a:gs>
                  <a:gs pos="50000">
                    <a:schemeClr val="accent2">
                      <a:lumMod val="80000"/>
                      <a:lumMod val="105000"/>
                      <a:satMod val="103000"/>
                      <a:tint val="73000"/>
                    </a:schemeClr>
                  </a:gs>
                  <a:gs pos="100000">
                    <a:schemeClr val="accent2">
                      <a:lumMod val="80000"/>
                      <a:lumMod val="105000"/>
                      <a:satMod val="109000"/>
                      <a:tint val="81000"/>
                    </a:schemeClr>
                  </a:gs>
                </a:gsLst>
                <a:lin ang="5400000" scaled="0"/>
              </a:gradFill>
              <a:ln>
                <a:noFill/>
              </a:ln>
              <a:effectLst/>
              <a:sp3d/>
            </c:spPr>
            <c:extLst>
              <c:ext xmlns:c16="http://schemas.microsoft.com/office/drawing/2014/chart" uri="{C3380CC4-5D6E-409C-BE32-E72D297353CC}">
                <c16:uniqueId val="{00000027-C444-4ECB-ACC7-3445090D314B}"/>
              </c:ext>
            </c:extLst>
          </c:dPt>
          <c:dPt>
            <c:idx val="20"/>
            <c:bubble3D val="0"/>
            <c:spPr>
              <a:gradFill rotWithShape="1">
                <a:gsLst>
                  <a:gs pos="0">
                    <a:schemeClr val="accent3">
                      <a:lumMod val="80000"/>
                      <a:lumMod val="110000"/>
                      <a:satMod val="105000"/>
                      <a:tint val="67000"/>
                    </a:schemeClr>
                  </a:gs>
                  <a:gs pos="50000">
                    <a:schemeClr val="accent3">
                      <a:lumMod val="80000"/>
                      <a:lumMod val="105000"/>
                      <a:satMod val="103000"/>
                      <a:tint val="73000"/>
                    </a:schemeClr>
                  </a:gs>
                  <a:gs pos="100000">
                    <a:schemeClr val="accent3">
                      <a:lumMod val="80000"/>
                      <a:lumMod val="105000"/>
                      <a:satMod val="109000"/>
                      <a:tint val="81000"/>
                    </a:schemeClr>
                  </a:gs>
                </a:gsLst>
                <a:lin ang="5400000" scaled="0"/>
              </a:gradFill>
              <a:ln>
                <a:noFill/>
              </a:ln>
              <a:effectLst/>
              <a:sp3d/>
            </c:spPr>
            <c:extLst>
              <c:ext xmlns:c16="http://schemas.microsoft.com/office/drawing/2014/chart" uri="{C3380CC4-5D6E-409C-BE32-E72D297353CC}">
                <c16:uniqueId val="{00000029-C444-4ECB-ACC7-3445090D314B}"/>
              </c:ext>
            </c:extLst>
          </c:dPt>
          <c:dPt>
            <c:idx val="21"/>
            <c:bubble3D val="0"/>
            <c:spPr>
              <a:gradFill rotWithShape="1">
                <a:gsLst>
                  <a:gs pos="0">
                    <a:schemeClr val="accent4">
                      <a:lumMod val="80000"/>
                      <a:lumMod val="110000"/>
                      <a:satMod val="105000"/>
                      <a:tint val="67000"/>
                    </a:schemeClr>
                  </a:gs>
                  <a:gs pos="50000">
                    <a:schemeClr val="accent4">
                      <a:lumMod val="80000"/>
                      <a:lumMod val="105000"/>
                      <a:satMod val="103000"/>
                      <a:tint val="73000"/>
                    </a:schemeClr>
                  </a:gs>
                  <a:gs pos="100000">
                    <a:schemeClr val="accent4">
                      <a:lumMod val="80000"/>
                      <a:lumMod val="105000"/>
                      <a:satMod val="109000"/>
                      <a:tint val="81000"/>
                    </a:schemeClr>
                  </a:gs>
                </a:gsLst>
                <a:lin ang="5400000" scaled="0"/>
              </a:gradFill>
              <a:ln>
                <a:noFill/>
              </a:ln>
              <a:effectLst/>
              <a:sp3d/>
            </c:spPr>
            <c:extLst>
              <c:ext xmlns:c16="http://schemas.microsoft.com/office/drawing/2014/chart" uri="{C3380CC4-5D6E-409C-BE32-E72D297353CC}">
                <c16:uniqueId val="{0000002B-C444-4ECB-ACC7-3445090D314B}"/>
              </c:ext>
            </c:extLst>
          </c:dPt>
          <c:dPt>
            <c:idx val="22"/>
            <c:bubble3D val="0"/>
            <c:spPr>
              <a:gradFill rotWithShape="1">
                <a:gsLst>
                  <a:gs pos="0">
                    <a:schemeClr val="accent5">
                      <a:lumMod val="80000"/>
                      <a:lumMod val="110000"/>
                      <a:satMod val="105000"/>
                      <a:tint val="67000"/>
                    </a:schemeClr>
                  </a:gs>
                  <a:gs pos="50000">
                    <a:schemeClr val="accent5">
                      <a:lumMod val="80000"/>
                      <a:lumMod val="105000"/>
                      <a:satMod val="103000"/>
                      <a:tint val="73000"/>
                    </a:schemeClr>
                  </a:gs>
                  <a:gs pos="100000">
                    <a:schemeClr val="accent5">
                      <a:lumMod val="80000"/>
                      <a:lumMod val="105000"/>
                      <a:satMod val="109000"/>
                      <a:tint val="81000"/>
                    </a:schemeClr>
                  </a:gs>
                </a:gsLst>
                <a:lin ang="5400000" scaled="0"/>
              </a:gradFill>
              <a:ln>
                <a:noFill/>
              </a:ln>
              <a:effectLst/>
              <a:sp3d/>
            </c:spPr>
            <c:extLst>
              <c:ext xmlns:c16="http://schemas.microsoft.com/office/drawing/2014/chart" uri="{C3380CC4-5D6E-409C-BE32-E72D297353CC}">
                <c16:uniqueId val="{0000002D-C444-4ECB-ACC7-3445090D314B}"/>
              </c:ext>
            </c:extLst>
          </c:dPt>
          <c:dPt>
            <c:idx val="23"/>
            <c:bubble3D val="0"/>
            <c:spPr>
              <a:gradFill rotWithShape="1">
                <a:gsLst>
                  <a:gs pos="0">
                    <a:schemeClr val="accent6">
                      <a:lumMod val="80000"/>
                      <a:lumMod val="110000"/>
                      <a:satMod val="105000"/>
                      <a:tint val="67000"/>
                    </a:schemeClr>
                  </a:gs>
                  <a:gs pos="50000">
                    <a:schemeClr val="accent6">
                      <a:lumMod val="80000"/>
                      <a:lumMod val="105000"/>
                      <a:satMod val="103000"/>
                      <a:tint val="73000"/>
                    </a:schemeClr>
                  </a:gs>
                  <a:gs pos="100000">
                    <a:schemeClr val="accent6">
                      <a:lumMod val="80000"/>
                      <a:lumMod val="105000"/>
                      <a:satMod val="109000"/>
                      <a:tint val="81000"/>
                    </a:schemeClr>
                  </a:gs>
                </a:gsLst>
                <a:lin ang="5400000" scaled="0"/>
              </a:gradFill>
              <a:ln>
                <a:noFill/>
              </a:ln>
              <a:effectLst/>
              <a:sp3d/>
            </c:spPr>
            <c:extLst>
              <c:ext xmlns:c16="http://schemas.microsoft.com/office/drawing/2014/chart" uri="{C3380CC4-5D6E-409C-BE32-E72D297353CC}">
                <c16:uniqueId val="{0000002F-C444-4ECB-ACC7-3445090D314B}"/>
              </c:ext>
            </c:extLst>
          </c:dPt>
          <c:dPt>
            <c:idx val="24"/>
            <c:bubble3D val="0"/>
            <c:spPr>
              <a:gradFill rotWithShape="1">
                <a:gsLst>
                  <a:gs pos="0">
                    <a:schemeClr val="accent1">
                      <a:lumMod val="60000"/>
                      <a:lumOff val="40000"/>
                      <a:lumMod val="110000"/>
                      <a:satMod val="105000"/>
                      <a:tint val="67000"/>
                    </a:schemeClr>
                  </a:gs>
                  <a:gs pos="50000">
                    <a:schemeClr val="accent1">
                      <a:lumMod val="60000"/>
                      <a:lumOff val="40000"/>
                      <a:lumMod val="105000"/>
                      <a:satMod val="103000"/>
                      <a:tint val="73000"/>
                    </a:schemeClr>
                  </a:gs>
                  <a:gs pos="100000">
                    <a:schemeClr val="accent1">
                      <a:lumMod val="60000"/>
                      <a:lumOff val="40000"/>
                      <a:lumMod val="105000"/>
                      <a:satMod val="109000"/>
                      <a:tint val="81000"/>
                    </a:schemeClr>
                  </a:gs>
                </a:gsLst>
                <a:lin ang="5400000" scaled="0"/>
              </a:gradFill>
              <a:ln>
                <a:noFill/>
              </a:ln>
              <a:effectLst/>
              <a:sp3d/>
            </c:spPr>
            <c:extLst>
              <c:ext xmlns:c16="http://schemas.microsoft.com/office/drawing/2014/chart" uri="{C3380CC4-5D6E-409C-BE32-E72D297353CC}">
                <c16:uniqueId val="{00000031-C444-4ECB-ACC7-3445090D314B}"/>
              </c:ext>
            </c:extLst>
          </c:dPt>
          <c:dPt>
            <c:idx val="25"/>
            <c:bubble3D val="0"/>
            <c:spPr>
              <a:gradFill rotWithShape="1">
                <a:gsLst>
                  <a:gs pos="0">
                    <a:schemeClr val="accent2">
                      <a:lumMod val="60000"/>
                      <a:lumOff val="40000"/>
                      <a:lumMod val="110000"/>
                      <a:satMod val="105000"/>
                      <a:tint val="67000"/>
                    </a:schemeClr>
                  </a:gs>
                  <a:gs pos="50000">
                    <a:schemeClr val="accent2">
                      <a:lumMod val="60000"/>
                      <a:lumOff val="40000"/>
                      <a:lumMod val="105000"/>
                      <a:satMod val="103000"/>
                      <a:tint val="73000"/>
                    </a:schemeClr>
                  </a:gs>
                  <a:gs pos="100000">
                    <a:schemeClr val="accent2">
                      <a:lumMod val="60000"/>
                      <a:lumOff val="40000"/>
                      <a:lumMod val="105000"/>
                      <a:satMod val="109000"/>
                      <a:tint val="81000"/>
                    </a:schemeClr>
                  </a:gs>
                </a:gsLst>
                <a:lin ang="5400000" scaled="0"/>
              </a:gradFill>
              <a:ln>
                <a:noFill/>
              </a:ln>
              <a:effectLst/>
              <a:sp3d/>
            </c:spPr>
            <c:extLst>
              <c:ext xmlns:c16="http://schemas.microsoft.com/office/drawing/2014/chart" uri="{C3380CC4-5D6E-409C-BE32-E72D297353CC}">
                <c16:uniqueId val="{00000033-C444-4ECB-ACC7-3445090D314B}"/>
              </c:ext>
            </c:extLst>
          </c:dPt>
          <c:dPt>
            <c:idx val="26"/>
            <c:bubble3D val="0"/>
            <c:spPr>
              <a:gradFill rotWithShape="1">
                <a:gsLst>
                  <a:gs pos="0">
                    <a:schemeClr val="accent3">
                      <a:lumMod val="60000"/>
                      <a:lumOff val="40000"/>
                      <a:lumMod val="110000"/>
                      <a:satMod val="105000"/>
                      <a:tint val="67000"/>
                    </a:schemeClr>
                  </a:gs>
                  <a:gs pos="50000">
                    <a:schemeClr val="accent3">
                      <a:lumMod val="60000"/>
                      <a:lumOff val="40000"/>
                      <a:lumMod val="105000"/>
                      <a:satMod val="103000"/>
                      <a:tint val="73000"/>
                    </a:schemeClr>
                  </a:gs>
                  <a:gs pos="100000">
                    <a:schemeClr val="accent3">
                      <a:lumMod val="60000"/>
                      <a:lumOff val="40000"/>
                      <a:lumMod val="105000"/>
                      <a:satMod val="109000"/>
                      <a:tint val="81000"/>
                    </a:schemeClr>
                  </a:gs>
                </a:gsLst>
                <a:lin ang="5400000" scaled="0"/>
              </a:gradFill>
              <a:ln>
                <a:noFill/>
              </a:ln>
              <a:effectLst/>
              <a:sp3d/>
            </c:spPr>
            <c:extLst>
              <c:ext xmlns:c16="http://schemas.microsoft.com/office/drawing/2014/chart" uri="{C3380CC4-5D6E-409C-BE32-E72D297353CC}">
                <c16:uniqueId val="{00000035-C444-4ECB-ACC7-3445090D314B}"/>
              </c:ext>
            </c:extLst>
          </c:dPt>
          <c:dPt>
            <c:idx val="27"/>
            <c:bubble3D val="0"/>
            <c:spPr>
              <a:gradFill rotWithShape="1">
                <a:gsLst>
                  <a:gs pos="0">
                    <a:schemeClr val="accent4">
                      <a:lumMod val="60000"/>
                      <a:lumOff val="40000"/>
                      <a:lumMod val="110000"/>
                      <a:satMod val="105000"/>
                      <a:tint val="67000"/>
                    </a:schemeClr>
                  </a:gs>
                  <a:gs pos="50000">
                    <a:schemeClr val="accent4">
                      <a:lumMod val="60000"/>
                      <a:lumOff val="40000"/>
                      <a:lumMod val="105000"/>
                      <a:satMod val="103000"/>
                      <a:tint val="73000"/>
                    </a:schemeClr>
                  </a:gs>
                  <a:gs pos="100000">
                    <a:schemeClr val="accent4">
                      <a:lumMod val="60000"/>
                      <a:lumOff val="40000"/>
                      <a:lumMod val="105000"/>
                      <a:satMod val="109000"/>
                      <a:tint val="81000"/>
                    </a:schemeClr>
                  </a:gs>
                </a:gsLst>
                <a:lin ang="5400000" scaled="0"/>
              </a:gradFill>
              <a:ln>
                <a:noFill/>
              </a:ln>
              <a:effectLst/>
              <a:sp3d/>
            </c:spPr>
            <c:extLst>
              <c:ext xmlns:c16="http://schemas.microsoft.com/office/drawing/2014/chart" uri="{C3380CC4-5D6E-409C-BE32-E72D297353CC}">
                <c16:uniqueId val="{00000037-C444-4ECB-ACC7-3445090D314B}"/>
              </c:ext>
            </c:extLst>
          </c:dPt>
          <c:dPt>
            <c:idx val="28"/>
            <c:bubble3D val="0"/>
            <c:spPr>
              <a:gradFill rotWithShape="1">
                <a:gsLst>
                  <a:gs pos="0">
                    <a:schemeClr val="accent5">
                      <a:lumMod val="60000"/>
                      <a:lumOff val="40000"/>
                      <a:lumMod val="110000"/>
                      <a:satMod val="105000"/>
                      <a:tint val="67000"/>
                    </a:schemeClr>
                  </a:gs>
                  <a:gs pos="50000">
                    <a:schemeClr val="accent5">
                      <a:lumMod val="60000"/>
                      <a:lumOff val="40000"/>
                      <a:lumMod val="105000"/>
                      <a:satMod val="103000"/>
                      <a:tint val="73000"/>
                    </a:schemeClr>
                  </a:gs>
                  <a:gs pos="100000">
                    <a:schemeClr val="accent5">
                      <a:lumMod val="60000"/>
                      <a:lumOff val="40000"/>
                      <a:lumMod val="105000"/>
                      <a:satMod val="109000"/>
                      <a:tint val="81000"/>
                    </a:schemeClr>
                  </a:gs>
                </a:gsLst>
                <a:lin ang="5400000" scaled="0"/>
              </a:gradFill>
              <a:ln>
                <a:noFill/>
              </a:ln>
              <a:effectLst/>
              <a:sp3d/>
            </c:spPr>
            <c:extLst>
              <c:ext xmlns:c16="http://schemas.microsoft.com/office/drawing/2014/chart" uri="{C3380CC4-5D6E-409C-BE32-E72D297353CC}">
                <c16:uniqueId val="{00000039-C444-4ECB-ACC7-3445090D31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val>
            <c:numRef>
              <c:f>'Form Responses 1'!$I$4:$I$32</c:f>
              <c:numCache>
                <c:formatCode>General</c:formatCode>
                <c:ptCount val="29"/>
                <c:pt idx="0">
                  <c:v>5</c:v>
                </c:pt>
                <c:pt idx="1">
                  <c:v>2</c:v>
                </c:pt>
                <c:pt idx="2">
                  <c:v>4</c:v>
                </c:pt>
                <c:pt idx="3">
                  <c:v>2</c:v>
                </c:pt>
                <c:pt idx="4">
                  <c:v>4</c:v>
                </c:pt>
                <c:pt idx="5">
                  <c:v>4</c:v>
                </c:pt>
                <c:pt idx="6">
                  <c:v>3</c:v>
                </c:pt>
                <c:pt idx="7">
                  <c:v>2</c:v>
                </c:pt>
                <c:pt idx="8">
                  <c:v>1</c:v>
                </c:pt>
                <c:pt idx="9">
                  <c:v>2</c:v>
                </c:pt>
                <c:pt idx="10">
                  <c:v>2</c:v>
                </c:pt>
                <c:pt idx="11">
                  <c:v>2</c:v>
                </c:pt>
                <c:pt idx="12">
                  <c:v>2</c:v>
                </c:pt>
                <c:pt idx="13">
                  <c:v>5</c:v>
                </c:pt>
                <c:pt idx="14">
                  <c:v>3</c:v>
                </c:pt>
                <c:pt idx="15">
                  <c:v>1</c:v>
                </c:pt>
                <c:pt idx="16">
                  <c:v>1</c:v>
                </c:pt>
                <c:pt idx="17">
                  <c:v>1</c:v>
                </c:pt>
                <c:pt idx="18">
                  <c:v>4</c:v>
                </c:pt>
                <c:pt idx="19">
                  <c:v>2</c:v>
                </c:pt>
                <c:pt idx="20">
                  <c:v>1</c:v>
                </c:pt>
                <c:pt idx="21">
                  <c:v>4</c:v>
                </c:pt>
                <c:pt idx="22">
                  <c:v>5</c:v>
                </c:pt>
                <c:pt idx="23">
                  <c:v>1</c:v>
                </c:pt>
                <c:pt idx="24">
                  <c:v>3</c:v>
                </c:pt>
                <c:pt idx="25">
                  <c:v>1</c:v>
                </c:pt>
                <c:pt idx="26">
                  <c:v>3</c:v>
                </c:pt>
                <c:pt idx="27">
                  <c:v>3</c:v>
                </c:pt>
                <c:pt idx="28">
                  <c:v>1</c:v>
                </c:pt>
              </c:numCache>
            </c:numRef>
          </c:val>
          <c:extLst>
            <c:ext xmlns:c16="http://schemas.microsoft.com/office/drawing/2014/chart" uri="{C3380CC4-5D6E-409C-BE32-E72D297353CC}">
              <c16:uniqueId val="{00000000-67CF-4760-A9E6-0466FAAAB038}"/>
            </c:ext>
          </c:extLst>
        </c:ser>
        <c:dLbls>
          <c:dLblPos val="ctr"/>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160137795275590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572399753798969E-2"/>
          <c:y val="0.23085677022340456"/>
          <c:w val="0.91439248128266704"/>
          <c:h val="0.70061267106342395"/>
        </c:manualLayout>
      </c:layout>
      <c:area3DChart>
        <c:grouping val="stacked"/>
        <c:varyColors val="0"/>
        <c:ser>
          <c:idx val="0"/>
          <c:order val="0"/>
          <c:tx>
            <c:strRef>
              <c:f>'Form Responses 1'!$O$3</c:f>
              <c:strCache>
                <c:ptCount val="1"/>
                <c:pt idx="0">
                  <c:v>  On a scale of 1–5, how much do you think sound enhances your overall gaming experience?  </c:v>
                </c:pt>
              </c:strCache>
            </c:strRef>
          </c:tx>
          <c:spPr>
            <a:solidFill>
              <a:schemeClr val="accent1"/>
            </a:solidFill>
            <a:ln>
              <a:noFill/>
            </a:ln>
            <a:effectLst/>
            <a:sp3d/>
          </c:spPr>
          <c:val>
            <c:numRef>
              <c:f>'Form Responses 1'!$O$4:$O$32</c:f>
              <c:numCache>
                <c:formatCode>General</c:formatCode>
                <c:ptCount val="29"/>
                <c:pt idx="0">
                  <c:v>5</c:v>
                </c:pt>
                <c:pt idx="1">
                  <c:v>3</c:v>
                </c:pt>
                <c:pt idx="2">
                  <c:v>4</c:v>
                </c:pt>
                <c:pt idx="3">
                  <c:v>1</c:v>
                </c:pt>
                <c:pt idx="4">
                  <c:v>5</c:v>
                </c:pt>
                <c:pt idx="5">
                  <c:v>5</c:v>
                </c:pt>
                <c:pt idx="6">
                  <c:v>3</c:v>
                </c:pt>
                <c:pt idx="7">
                  <c:v>5</c:v>
                </c:pt>
                <c:pt idx="8">
                  <c:v>1</c:v>
                </c:pt>
                <c:pt idx="9">
                  <c:v>5</c:v>
                </c:pt>
                <c:pt idx="10">
                  <c:v>1</c:v>
                </c:pt>
                <c:pt idx="11">
                  <c:v>1</c:v>
                </c:pt>
                <c:pt idx="12">
                  <c:v>4</c:v>
                </c:pt>
                <c:pt idx="13">
                  <c:v>5</c:v>
                </c:pt>
                <c:pt idx="14">
                  <c:v>3</c:v>
                </c:pt>
                <c:pt idx="15">
                  <c:v>1</c:v>
                </c:pt>
                <c:pt idx="16">
                  <c:v>5</c:v>
                </c:pt>
                <c:pt idx="18">
                  <c:v>4</c:v>
                </c:pt>
                <c:pt idx="20">
                  <c:v>4</c:v>
                </c:pt>
                <c:pt idx="21">
                  <c:v>5</c:v>
                </c:pt>
                <c:pt idx="22">
                  <c:v>3</c:v>
                </c:pt>
                <c:pt idx="23">
                  <c:v>5</c:v>
                </c:pt>
                <c:pt idx="24">
                  <c:v>2</c:v>
                </c:pt>
                <c:pt idx="25">
                  <c:v>5</c:v>
                </c:pt>
                <c:pt idx="26">
                  <c:v>3</c:v>
                </c:pt>
                <c:pt idx="27">
                  <c:v>5</c:v>
                </c:pt>
                <c:pt idx="28">
                  <c:v>1</c:v>
                </c:pt>
              </c:numCache>
            </c:numRef>
          </c:val>
          <c:extLst>
            <c:ext xmlns:c16="http://schemas.microsoft.com/office/drawing/2014/chart" uri="{C3380CC4-5D6E-409C-BE32-E72D297353CC}">
              <c16:uniqueId val="{00000000-F611-43E9-91B7-B32BE442D4D0}"/>
            </c:ext>
          </c:extLst>
        </c:ser>
        <c:dLbls>
          <c:showLegendKey val="0"/>
          <c:showVal val="0"/>
          <c:showCatName val="0"/>
          <c:showSerName val="0"/>
          <c:showPercent val="0"/>
          <c:showBubbleSize val="0"/>
        </c:dLbls>
        <c:axId val="143875583"/>
        <c:axId val="143877503"/>
        <c:axId val="0"/>
      </c:area3DChart>
      <c:catAx>
        <c:axId val="14387558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7503"/>
        <c:crosses val="autoZero"/>
        <c:auto val="1"/>
        <c:lblAlgn val="ctr"/>
        <c:lblOffset val="100"/>
        <c:noMultiLvlLbl val="0"/>
      </c:catAx>
      <c:valAx>
        <c:axId val="14387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55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785650</xdr:colOff>
      <xdr:row>40</xdr:row>
      <xdr:rowOff>144162</xdr:rowOff>
    </xdr:from>
    <xdr:to>
      <xdr:col>8</xdr:col>
      <xdr:colOff>679621</xdr:colOff>
      <xdr:row>82</xdr:row>
      <xdr:rowOff>82378</xdr:rowOff>
    </xdr:to>
    <xdr:graphicFrame macro="">
      <xdr:nvGraphicFramePr>
        <xdr:cNvPr id="15" name="Chart 14">
          <a:extLst>
            <a:ext uri="{FF2B5EF4-FFF2-40B4-BE49-F238E27FC236}">
              <a16:creationId xmlns:a16="http://schemas.microsoft.com/office/drawing/2014/main" id="{4086EA8B-EDB2-F9A7-48CC-7AE632BFC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64342</xdr:colOff>
      <xdr:row>40</xdr:row>
      <xdr:rowOff>144162</xdr:rowOff>
    </xdr:from>
    <xdr:to>
      <xdr:col>13</xdr:col>
      <xdr:colOff>2121241</xdr:colOff>
      <xdr:row>82</xdr:row>
      <xdr:rowOff>41189</xdr:rowOff>
    </xdr:to>
    <xdr:graphicFrame macro="">
      <xdr:nvGraphicFramePr>
        <xdr:cNvPr id="19" name="Chart 18">
          <a:extLst>
            <a:ext uri="{FF2B5EF4-FFF2-40B4-BE49-F238E27FC236}">
              <a16:creationId xmlns:a16="http://schemas.microsoft.com/office/drawing/2014/main" id="{F519F153-F1C5-E94D-E1C1-156845FE2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3:O33" totalsRowCount="1" headerRowDxfId="30" totalsRowDxfId="29">
  <tableColumns count="15">
    <tableColumn id="1" xr3:uid="{00000000-0010-0000-0000-000001000000}" name="Response No:" dataDxfId="28" totalsRowDxfId="14"/>
    <tableColumn id="2" xr3:uid="{00000000-0010-0000-0000-000002000000}" name="Timestamp" dataDxfId="27" totalsRowDxfId="13"/>
    <tableColumn id="3" xr3:uid="{00000000-0010-0000-0000-000003000000}" name="Email Address" dataDxfId="26" totalsRowDxfId="12"/>
    <tableColumn id="4" xr3:uid="{00000000-0010-0000-0000-000004000000}" name="What's your name?" dataDxfId="25" totalsRowDxfId="11"/>
    <tableColumn id="5" xr3:uid="{00000000-0010-0000-0000-000005000000}" name="Age group" dataDxfId="24" totalsRowDxfId="10"/>
    <tableColumn id="6" xr3:uid="{00000000-0010-0000-0000-000006000000}" name="  Gender" dataDxfId="23" totalsRowDxfId="9"/>
    <tableColumn id="7" xr3:uid="{00000000-0010-0000-0000-000007000000}" name="How often do you listen to music while using digital platforms (apps, games, or websites)?  " dataDxfId="22" totalsRowDxfId="8"/>
    <tableColumn id="8" xr3:uid="{00000000-0010-0000-0000-000008000000}" name="  Why do you think sound is important in gaming? " totalsRowLabel="Sum:" totalsRowDxfId="2"/>
    <tableColumn id="9" xr3:uid="{00000000-0010-0000-0000-000009000000}" name="How likely are you to replay a scene just because of the sound/music? 🎶💫  " totalsRowFunction="custom" dataDxfId="21" totalsRowDxfId="3">
      <totalsRowFormula>SUM(I4:I32)</totalsRowFormula>
    </tableColumn>
    <tableColumn id="10" xr3:uid="{00000000-0010-0000-0000-00000A000000}" name="How often do you play games with the sound ON?  " dataDxfId="20" totalsRowDxfId="7"/>
    <tableColumn id="11" xr3:uid="{00000000-0010-0000-0000-00000B000000}" name="Upload your best score in any game" dataDxfId="19" totalsRowDxfId="6"/>
    <tableColumn id="12" xr3:uid="{00000000-0010-0000-0000-00000C000000}" name="How do you feel when an app suddenly blasts loud music with no warning?" dataDxfId="18" totalsRowDxfId="5"/>
    <tableColumn id="13" xr3:uid="{00000000-0010-0000-0000-00000D000000}" name="What’s one game whose sound you’ll never forget? " dataDxfId="17" totalsRowDxfId="4"/>
    <tableColumn id="14" xr3:uid="{00000000-0010-0000-0000-00000E000000}" name="If your favorite game’s background music played in real life, what would you be doing? " totalsRowLabel="Average:" dataDxfId="16" totalsRowDxfId="1"/>
    <tableColumn id="15" xr3:uid="{00000000-0010-0000-0000-00000F000000}" name="  On a scale of 1–5, how much do you think sound enhances your overall gaming experience?  " totalsRowFunction="custom" dataDxfId="15" totalsRowDxfId="0">
      <totalsRowFormula>AVERAGE(O4:O32)</totalsRowFormula>
    </tableColumn>
  </tableColumns>
  <tableStyleInfo name="TableStyleLight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40C_yAm53DKpVmDim5ptPCF9wtrQ4Nur" TargetMode="External"/><Relationship Id="rId1" Type="http://schemas.openxmlformats.org/officeDocument/2006/relationships/hyperlink" Target="https://drive.google.com/open?id=1i-PTztNmzlPGCSa93KOLDiUDrB9jsbw5"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sheetPr>
  <dimension ref="A1:DO437"/>
  <sheetViews>
    <sheetView tabSelected="1" topLeftCell="J1" zoomScale="68" zoomScaleNormal="68" workbookViewId="0">
      <pane ySplit="3" topLeftCell="A10" activePane="bottomLeft" state="frozen"/>
      <selection pane="bottomLeft" activeCell="L36" sqref="L36"/>
    </sheetView>
  </sheetViews>
  <sheetFormatPr defaultColWidth="12.5546875" defaultRowHeight="15.75" customHeight="1" x14ac:dyDescent="0.25"/>
  <cols>
    <col min="1" max="1" width="13.6640625" style="1" customWidth="1"/>
    <col min="2" max="2" width="20.109375" style="1" customWidth="1"/>
    <col min="3" max="3" width="30.44140625" style="1" customWidth="1"/>
    <col min="4" max="4" width="22.5546875" style="1" customWidth="1"/>
    <col min="5" max="5" width="13.21875" style="1" customWidth="1"/>
    <col min="6" max="6" width="11.6640625" style="1" customWidth="1"/>
    <col min="7" max="7" width="41.33203125" style="1" customWidth="1"/>
    <col min="8" max="8" width="46.21875" style="1" customWidth="1"/>
    <col min="9" max="9" width="39.77734375" style="1" customWidth="1"/>
    <col min="10" max="10" width="38.77734375" style="1" customWidth="1"/>
    <col min="11" max="11" width="40.44140625" style="1" customWidth="1"/>
    <col min="12" max="12" width="35.6640625" style="1" customWidth="1"/>
    <col min="13" max="13" width="37.77734375" style="1" customWidth="1"/>
    <col min="14" max="14" width="38.5546875" style="1" customWidth="1"/>
    <col min="15" max="15" width="38.6640625" style="1" customWidth="1"/>
    <col min="16" max="21" width="18.88671875" style="1" customWidth="1"/>
    <col min="22" max="16384" width="12.5546875" style="1"/>
  </cols>
  <sheetData>
    <row r="1" spans="1:119" s="18" customFormat="1" ht="15.75" customHeight="1" x14ac:dyDescent="0.25">
      <c r="A1" s="22" t="s">
        <v>154</v>
      </c>
      <c r="B1" s="23"/>
      <c r="C1" s="23"/>
      <c r="D1" s="23"/>
      <c r="E1" s="23"/>
      <c r="F1" s="23"/>
      <c r="G1" s="23"/>
      <c r="H1" s="23"/>
      <c r="I1" s="23"/>
      <c r="J1" s="23"/>
      <c r="K1" s="23"/>
      <c r="L1" s="23"/>
      <c r="M1" s="23"/>
      <c r="N1" s="23"/>
      <c r="O1" s="23"/>
      <c r="P1" s="19"/>
      <c r="Q1" s="19"/>
      <c r="R1" s="19"/>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c r="DJ1" s="20"/>
      <c r="DK1" s="20"/>
      <c r="DL1" s="20"/>
      <c r="DM1" s="20"/>
      <c r="DN1" s="20"/>
      <c r="DO1" s="20"/>
    </row>
    <row r="2" spans="1:119" ht="15.75" customHeight="1" x14ac:dyDescent="0.25">
      <c r="A2" s="24"/>
      <c r="B2" s="25"/>
      <c r="C2" s="25"/>
      <c r="D2" s="25"/>
      <c r="E2" s="25"/>
      <c r="F2" s="25"/>
      <c r="G2" s="25"/>
      <c r="H2" s="25"/>
      <c r="I2" s="25"/>
      <c r="J2" s="25"/>
      <c r="K2" s="25"/>
      <c r="L2" s="25"/>
      <c r="M2" s="25"/>
      <c r="N2" s="25"/>
      <c r="O2" s="25"/>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row>
    <row r="3" spans="1:119" ht="39.6" x14ac:dyDescent="0.25">
      <c r="A3" s="14" t="s">
        <v>0</v>
      </c>
      <c r="B3" s="14" t="s">
        <v>1</v>
      </c>
      <c r="C3" s="14" t="s">
        <v>2</v>
      </c>
      <c r="D3" s="14" t="s">
        <v>3</v>
      </c>
      <c r="E3" s="15" t="s">
        <v>152</v>
      </c>
      <c r="F3" s="14" t="s">
        <v>153</v>
      </c>
      <c r="G3" s="16" t="s">
        <v>145</v>
      </c>
      <c r="H3" s="16" t="s">
        <v>146</v>
      </c>
      <c r="I3" s="16" t="s">
        <v>4</v>
      </c>
      <c r="J3" s="16" t="s">
        <v>147</v>
      </c>
      <c r="K3" s="16" t="s">
        <v>148</v>
      </c>
      <c r="L3" s="16" t="s">
        <v>151</v>
      </c>
      <c r="M3" s="16" t="s">
        <v>149</v>
      </c>
      <c r="N3" s="16" t="s">
        <v>150</v>
      </c>
      <c r="O3" s="16" t="s">
        <v>5</v>
      </c>
      <c r="P3" s="17"/>
      <c r="Q3" s="17"/>
      <c r="R3" s="17"/>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row>
    <row r="4" spans="1:119" ht="39.6" x14ac:dyDescent="0.25">
      <c r="A4" s="12">
        <v>1</v>
      </c>
      <c r="B4" s="3">
        <v>45961.963406898147</v>
      </c>
      <c r="C4" s="2" t="s">
        <v>6</v>
      </c>
      <c r="D4" s="9" t="s">
        <v>7</v>
      </c>
      <c r="E4" s="2" t="s">
        <v>8</v>
      </c>
      <c r="F4" s="10" t="s">
        <v>9</v>
      </c>
      <c r="G4" s="2" t="s">
        <v>10</v>
      </c>
      <c r="H4" s="4" t="s">
        <v>11</v>
      </c>
      <c r="I4" s="2">
        <v>5</v>
      </c>
      <c r="J4" s="4" t="s">
        <v>12</v>
      </c>
      <c r="K4" s="5" t="s">
        <v>13</v>
      </c>
      <c r="L4" s="4" t="s">
        <v>14</v>
      </c>
      <c r="M4" s="4" t="s">
        <v>15</v>
      </c>
      <c r="N4" s="2" t="s">
        <v>16</v>
      </c>
      <c r="O4" s="2">
        <v>5</v>
      </c>
    </row>
    <row r="5" spans="1:119" ht="21.75" customHeight="1" x14ac:dyDescent="0.25">
      <c r="A5" s="12">
        <v>2</v>
      </c>
      <c r="B5" s="3">
        <v>45961.987321875</v>
      </c>
      <c r="C5" s="2" t="s">
        <v>17</v>
      </c>
      <c r="D5" s="2" t="s">
        <v>18</v>
      </c>
      <c r="E5" s="11" t="s">
        <v>19</v>
      </c>
      <c r="F5" s="2" t="s">
        <v>20</v>
      </c>
      <c r="G5" s="2" t="s">
        <v>10</v>
      </c>
      <c r="H5" s="4" t="s">
        <v>21</v>
      </c>
      <c r="I5" s="2">
        <v>2</v>
      </c>
      <c r="J5" s="4" t="s">
        <v>22</v>
      </c>
      <c r="K5" s="4"/>
      <c r="L5" s="4" t="s">
        <v>14</v>
      </c>
      <c r="M5" s="4" t="s">
        <v>23</v>
      </c>
      <c r="N5" s="2" t="s">
        <v>16</v>
      </c>
      <c r="O5" s="2">
        <v>3</v>
      </c>
    </row>
    <row r="6" spans="1:119" ht="13.2" x14ac:dyDescent="0.25">
      <c r="A6" s="12">
        <v>3</v>
      </c>
      <c r="B6" s="3">
        <v>45961.990117638888</v>
      </c>
      <c r="C6" s="2" t="s">
        <v>24</v>
      </c>
      <c r="D6" s="2" t="s">
        <v>25</v>
      </c>
      <c r="E6" s="2" t="s">
        <v>26</v>
      </c>
      <c r="F6" s="2" t="s">
        <v>20</v>
      </c>
      <c r="G6" s="2" t="s">
        <v>10</v>
      </c>
      <c r="H6" s="4" t="s">
        <v>27</v>
      </c>
      <c r="I6" s="2">
        <v>4</v>
      </c>
      <c r="J6" s="4" t="s">
        <v>28</v>
      </c>
      <c r="K6" s="4"/>
      <c r="L6" s="4" t="s">
        <v>29</v>
      </c>
      <c r="M6" s="4" t="s">
        <v>30</v>
      </c>
      <c r="N6" s="2" t="s">
        <v>31</v>
      </c>
      <c r="O6" s="2">
        <v>4</v>
      </c>
    </row>
    <row r="7" spans="1:119" ht="13.2" x14ac:dyDescent="0.25">
      <c r="A7" s="12">
        <v>4</v>
      </c>
      <c r="B7" s="3">
        <v>45961.992870937502</v>
      </c>
      <c r="C7" s="2" t="s">
        <v>32</v>
      </c>
      <c r="D7" s="2" t="s">
        <v>33</v>
      </c>
      <c r="E7" s="2" t="s">
        <v>34</v>
      </c>
      <c r="F7" s="2" t="s">
        <v>20</v>
      </c>
      <c r="G7" s="2" t="s">
        <v>35</v>
      </c>
      <c r="H7" s="4" t="s">
        <v>36</v>
      </c>
      <c r="I7" s="2">
        <v>2</v>
      </c>
      <c r="J7" s="4" t="s">
        <v>28</v>
      </c>
      <c r="K7" s="4"/>
      <c r="L7" s="4" t="s">
        <v>37</v>
      </c>
      <c r="M7" s="4" t="s">
        <v>38</v>
      </c>
      <c r="N7" s="2" t="s">
        <v>31</v>
      </c>
      <c r="O7" s="2">
        <v>1</v>
      </c>
    </row>
    <row r="8" spans="1:119" ht="13.2" x14ac:dyDescent="0.25">
      <c r="A8" s="12">
        <v>5</v>
      </c>
      <c r="B8" s="3">
        <v>45961.993867523153</v>
      </c>
      <c r="C8" s="2" t="s">
        <v>39</v>
      </c>
      <c r="D8" s="2" t="s">
        <v>40</v>
      </c>
      <c r="E8" s="2" t="s">
        <v>8</v>
      </c>
      <c r="F8" s="2" t="s">
        <v>20</v>
      </c>
      <c r="G8" s="2" t="s">
        <v>10</v>
      </c>
      <c r="H8" s="4" t="s">
        <v>41</v>
      </c>
      <c r="I8" s="2">
        <v>4</v>
      </c>
      <c r="J8" s="4" t="s">
        <v>42</v>
      </c>
      <c r="K8" s="4"/>
      <c r="L8" s="4" t="s">
        <v>29</v>
      </c>
      <c r="M8" s="4" t="s">
        <v>43</v>
      </c>
      <c r="N8" s="2" t="s">
        <v>44</v>
      </c>
      <c r="O8" s="2">
        <v>5</v>
      </c>
    </row>
    <row r="9" spans="1:119" ht="13.2" x14ac:dyDescent="0.25">
      <c r="A9" s="12">
        <v>6</v>
      </c>
      <c r="B9" s="3">
        <v>45961.996392291665</v>
      </c>
      <c r="C9" s="2" t="s">
        <v>45</v>
      </c>
      <c r="D9" s="2" t="s">
        <v>46</v>
      </c>
      <c r="E9" s="2" t="s">
        <v>8</v>
      </c>
      <c r="F9" s="2" t="s">
        <v>20</v>
      </c>
      <c r="G9" s="2" t="s">
        <v>35</v>
      </c>
      <c r="H9" s="4" t="s">
        <v>47</v>
      </c>
      <c r="I9" s="2">
        <v>4</v>
      </c>
      <c r="J9" s="4" t="s">
        <v>42</v>
      </c>
      <c r="K9" s="4"/>
      <c r="L9" s="4" t="s">
        <v>14</v>
      </c>
      <c r="M9" s="4" t="s">
        <v>48</v>
      </c>
      <c r="N9" s="2" t="s">
        <v>49</v>
      </c>
      <c r="O9" s="2">
        <v>5</v>
      </c>
    </row>
    <row r="10" spans="1:119" ht="26.4" x14ac:dyDescent="0.25">
      <c r="A10" s="12">
        <v>7</v>
      </c>
      <c r="B10" s="3">
        <v>45962.01001518518</v>
      </c>
      <c r="C10" s="2" t="s">
        <v>50</v>
      </c>
      <c r="D10" s="2" t="s">
        <v>51</v>
      </c>
      <c r="E10" s="2" t="s">
        <v>52</v>
      </c>
      <c r="F10" s="2" t="s">
        <v>9</v>
      </c>
      <c r="G10" s="2" t="s">
        <v>10</v>
      </c>
      <c r="H10" s="4" t="s">
        <v>53</v>
      </c>
      <c r="I10" s="2">
        <v>3</v>
      </c>
      <c r="J10" s="4" t="s">
        <v>28</v>
      </c>
      <c r="K10" s="4"/>
      <c r="L10" s="4" t="s">
        <v>37</v>
      </c>
      <c r="M10" s="4" t="s">
        <v>54</v>
      </c>
      <c r="N10" s="2" t="s">
        <v>31</v>
      </c>
      <c r="O10" s="2">
        <v>3</v>
      </c>
    </row>
    <row r="11" spans="1:119" ht="13.2" x14ac:dyDescent="0.25">
      <c r="A11" s="12">
        <v>8</v>
      </c>
      <c r="B11" s="3">
        <v>45962.014176331024</v>
      </c>
      <c r="C11" s="2" t="s">
        <v>55</v>
      </c>
      <c r="D11" s="2" t="s">
        <v>56</v>
      </c>
      <c r="E11" s="2" t="s">
        <v>8</v>
      </c>
      <c r="F11" s="2" t="s">
        <v>9</v>
      </c>
      <c r="G11" s="2" t="s">
        <v>57</v>
      </c>
      <c r="H11" s="4" t="s">
        <v>58</v>
      </c>
      <c r="I11" s="2">
        <v>2</v>
      </c>
      <c r="J11" s="4" t="s">
        <v>42</v>
      </c>
      <c r="K11" s="4"/>
      <c r="L11" s="4" t="s">
        <v>37</v>
      </c>
      <c r="M11" s="4" t="s">
        <v>59</v>
      </c>
      <c r="N11" s="2" t="s">
        <v>49</v>
      </c>
      <c r="O11" s="2">
        <v>5</v>
      </c>
    </row>
    <row r="12" spans="1:119" ht="13.2" x14ac:dyDescent="0.25">
      <c r="A12" s="12">
        <v>9</v>
      </c>
      <c r="B12" s="3">
        <v>45962.016152731478</v>
      </c>
      <c r="C12" s="2" t="s">
        <v>60</v>
      </c>
      <c r="D12" s="2" t="s">
        <v>61</v>
      </c>
      <c r="E12" s="2" t="s">
        <v>8</v>
      </c>
      <c r="F12" s="2" t="s">
        <v>20</v>
      </c>
      <c r="G12" s="2" t="s">
        <v>57</v>
      </c>
      <c r="H12" s="4" t="s">
        <v>62</v>
      </c>
      <c r="I12" s="2">
        <v>1</v>
      </c>
      <c r="J12" s="4" t="s">
        <v>28</v>
      </c>
      <c r="K12" s="4"/>
      <c r="L12" s="4" t="s">
        <v>63</v>
      </c>
      <c r="M12" s="4" t="s">
        <v>64</v>
      </c>
      <c r="N12" s="2" t="s">
        <v>31</v>
      </c>
      <c r="O12" s="2">
        <v>1</v>
      </c>
    </row>
    <row r="13" spans="1:119" ht="52.8" x14ac:dyDescent="0.25">
      <c r="A13" s="12">
        <v>10</v>
      </c>
      <c r="B13" s="3">
        <v>45962.019268425924</v>
      </c>
      <c r="C13" s="2" t="s">
        <v>65</v>
      </c>
      <c r="D13" s="2" t="s">
        <v>66</v>
      </c>
      <c r="E13" s="2" t="s">
        <v>26</v>
      </c>
      <c r="F13" s="2" t="s">
        <v>9</v>
      </c>
      <c r="G13" s="2" t="s">
        <v>10</v>
      </c>
      <c r="H13" s="4" t="s">
        <v>67</v>
      </c>
      <c r="I13" s="2">
        <v>2</v>
      </c>
      <c r="J13" s="4" t="s">
        <v>12</v>
      </c>
      <c r="K13" s="4"/>
      <c r="L13" s="4" t="s">
        <v>37</v>
      </c>
      <c r="M13" s="4" t="s">
        <v>68</v>
      </c>
      <c r="N13" s="2" t="s">
        <v>44</v>
      </c>
      <c r="O13" s="2">
        <v>5</v>
      </c>
    </row>
    <row r="14" spans="1:119" ht="13.2" x14ac:dyDescent="0.25">
      <c r="A14" s="12">
        <v>11</v>
      </c>
      <c r="B14" s="3">
        <v>45962.019566550924</v>
      </c>
      <c r="C14" s="2" t="s">
        <v>69</v>
      </c>
      <c r="D14" s="2" t="s">
        <v>70</v>
      </c>
      <c r="E14" s="2" t="s">
        <v>8</v>
      </c>
      <c r="F14" s="2" t="s">
        <v>20</v>
      </c>
      <c r="G14" s="2" t="s">
        <v>57</v>
      </c>
      <c r="H14" s="4" t="s">
        <v>71</v>
      </c>
      <c r="I14" s="2">
        <v>2</v>
      </c>
      <c r="J14" s="4" t="s">
        <v>22</v>
      </c>
      <c r="K14" s="4"/>
      <c r="L14" s="4" t="s">
        <v>14</v>
      </c>
      <c r="M14" s="4" t="s">
        <v>72</v>
      </c>
      <c r="N14" s="2" t="s">
        <v>16</v>
      </c>
      <c r="O14" s="2">
        <v>1</v>
      </c>
    </row>
    <row r="15" spans="1:119" ht="52.8" x14ac:dyDescent="0.25">
      <c r="A15" s="12">
        <v>12</v>
      </c>
      <c r="B15" s="3">
        <v>45962.028875868054</v>
      </c>
      <c r="C15" s="2" t="s">
        <v>73</v>
      </c>
      <c r="D15" s="2" t="s">
        <v>74</v>
      </c>
      <c r="E15" s="2" t="s">
        <v>8</v>
      </c>
      <c r="F15" s="2" t="s">
        <v>9</v>
      </c>
      <c r="G15" s="2" t="s">
        <v>57</v>
      </c>
      <c r="H15" s="4" t="s">
        <v>75</v>
      </c>
      <c r="I15" s="2">
        <v>2</v>
      </c>
      <c r="J15" s="4" t="s">
        <v>12</v>
      </c>
      <c r="K15" s="4"/>
      <c r="L15" s="4" t="s">
        <v>37</v>
      </c>
      <c r="M15" s="4" t="s">
        <v>76</v>
      </c>
      <c r="N15" s="2" t="s">
        <v>16</v>
      </c>
      <c r="O15" s="2">
        <v>1</v>
      </c>
    </row>
    <row r="16" spans="1:119" ht="13.2" x14ac:dyDescent="0.25">
      <c r="A16" s="12">
        <v>13</v>
      </c>
      <c r="B16" s="3">
        <v>45962.035528229171</v>
      </c>
      <c r="C16" s="2" t="s">
        <v>77</v>
      </c>
      <c r="D16" s="2" t="s">
        <v>78</v>
      </c>
      <c r="E16" s="2" t="s">
        <v>52</v>
      </c>
      <c r="F16" s="2" t="s">
        <v>9</v>
      </c>
      <c r="G16" s="2" t="s">
        <v>57</v>
      </c>
      <c r="H16" s="4" t="s">
        <v>79</v>
      </c>
      <c r="I16" s="2">
        <v>2</v>
      </c>
      <c r="J16" s="4" t="s">
        <v>28</v>
      </c>
      <c r="K16" s="4"/>
      <c r="L16" s="4" t="s">
        <v>37</v>
      </c>
      <c r="M16" s="4" t="s">
        <v>80</v>
      </c>
      <c r="N16" s="2" t="s">
        <v>44</v>
      </c>
      <c r="O16" s="2">
        <v>4</v>
      </c>
    </row>
    <row r="17" spans="1:15" ht="13.2" x14ac:dyDescent="0.25">
      <c r="A17" s="12">
        <v>14</v>
      </c>
      <c r="B17" s="3">
        <v>45962.037363402778</v>
      </c>
      <c r="C17" s="2" t="s">
        <v>81</v>
      </c>
      <c r="D17" s="2" t="s">
        <v>82</v>
      </c>
      <c r="E17" s="2" t="s">
        <v>26</v>
      </c>
      <c r="F17" s="2" t="s">
        <v>9</v>
      </c>
      <c r="G17" s="2" t="s">
        <v>10</v>
      </c>
      <c r="H17" s="4" t="s">
        <v>83</v>
      </c>
      <c r="I17" s="2">
        <v>5</v>
      </c>
      <c r="J17" s="4" t="s">
        <v>42</v>
      </c>
      <c r="K17" s="4"/>
      <c r="L17" s="4" t="s">
        <v>14</v>
      </c>
      <c r="M17" s="4" t="s">
        <v>84</v>
      </c>
      <c r="N17" s="2" t="s">
        <v>44</v>
      </c>
      <c r="O17" s="2">
        <v>5</v>
      </c>
    </row>
    <row r="18" spans="1:15" ht="13.2" x14ac:dyDescent="0.25">
      <c r="A18" s="12">
        <v>15</v>
      </c>
      <c r="B18" s="3">
        <v>45962.037962743052</v>
      </c>
      <c r="C18" s="2" t="s">
        <v>85</v>
      </c>
      <c r="D18" s="2" t="s">
        <v>86</v>
      </c>
      <c r="E18" s="2" t="s">
        <v>19</v>
      </c>
      <c r="F18" s="2" t="s">
        <v>20</v>
      </c>
      <c r="G18" s="2" t="s">
        <v>10</v>
      </c>
      <c r="H18" s="4" t="s">
        <v>87</v>
      </c>
      <c r="I18" s="2">
        <v>3</v>
      </c>
      <c r="J18" s="4" t="s">
        <v>28</v>
      </c>
      <c r="K18" s="4"/>
      <c r="L18" s="4" t="s">
        <v>14</v>
      </c>
      <c r="M18" s="4" t="s">
        <v>88</v>
      </c>
      <c r="N18" s="2" t="s">
        <v>16</v>
      </c>
      <c r="O18" s="2">
        <v>3</v>
      </c>
    </row>
    <row r="19" spans="1:15" ht="13.2" x14ac:dyDescent="0.25">
      <c r="A19" s="12">
        <v>16</v>
      </c>
      <c r="B19" s="3">
        <v>45962.043830694442</v>
      </c>
      <c r="C19" s="2" t="s">
        <v>89</v>
      </c>
      <c r="D19" s="2" t="s">
        <v>90</v>
      </c>
      <c r="E19" s="2" t="s">
        <v>8</v>
      </c>
      <c r="F19" s="2" t="s">
        <v>20</v>
      </c>
      <c r="G19" s="2" t="s">
        <v>10</v>
      </c>
      <c r="H19" s="4" t="s">
        <v>91</v>
      </c>
      <c r="I19" s="2">
        <v>1</v>
      </c>
      <c r="J19" s="4" t="s">
        <v>22</v>
      </c>
      <c r="K19" s="4"/>
      <c r="L19" s="4" t="s">
        <v>37</v>
      </c>
      <c r="M19" s="4" t="s">
        <v>72</v>
      </c>
      <c r="N19" s="2" t="s">
        <v>16</v>
      </c>
      <c r="O19" s="2">
        <v>1</v>
      </c>
    </row>
    <row r="20" spans="1:15" ht="26.4" x14ac:dyDescent="0.25">
      <c r="A20" s="12">
        <v>17</v>
      </c>
      <c r="B20" s="3">
        <v>45962.067927800927</v>
      </c>
      <c r="C20" s="2" t="s">
        <v>92</v>
      </c>
      <c r="D20" s="2" t="s">
        <v>93</v>
      </c>
      <c r="E20" s="2" t="s">
        <v>8</v>
      </c>
      <c r="F20" s="2" t="s">
        <v>9</v>
      </c>
      <c r="G20" s="2" t="s">
        <v>35</v>
      </c>
      <c r="H20" s="4" t="s">
        <v>94</v>
      </c>
      <c r="I20" s="2">
        <v>1</v>
      </c>
      <c r="J20" s="4" t="s">
        <v>42</v>
      </c>
      <c r="K20" s="4"/>
      <c r="L20" s="4" t="s">
        <v>14</v>
      </c>
      <c r="M20" s="4" t="s">
        <v>95</v>
      </c>
      <c r="N20" s="2" t="s">
        <v>49</v>
      </c>
      <c r="O20" s="2">
        <v>5</v>
      </c>
    </row>
    <row r="21" spans="1:15" ht="26.4" x14ac:dyDescent="0.25">
      <c r="A21" s="12">
        <v>18</v>
      </c>
      <c r="B21" s="3">
        <v>45962.257220925923</v>
      </c>
      <c r="C21" s="2" t="s">
        <v>96</v>
      </c>
      <c r="D21" s="2" t="s">
        <v>97</v>
      </c>
      <c r="E21" s="2" t="s">
        <v>8</v>
      </c>
      <c r="F21" s="2" t="s">
        <v>9</v>
      </c>
      <c r="G21" s="2" t="s">
        <v>10</v>
      </c>
      <c r="H21" s="4" t="s">
        <v>98</v>
      </c>
      <c r="I21" s="2">
        <v>1</v>
      </c>
      <c r="J21" s="4" t="s">
        <v>42</v>
      </c>
      <c r="K21" s="4"/>
      <c r="L21" s="4" t="s">
        <v>37</v>
      </c>
      <c r="M21" s="4" t="s">
        <v>99</v>
      </c>
      <c r="N21" s="2" t="s">
        <v>49</v>
      </c>
      <c r="O21" s="2"/>
    </row>
    <row r="22" spans="1:15" ht="26.4" x14ac:dyDescent="0.25">
      <c r="A22" s="12">
        <v>19</v>
      </c>
      <c r="B22" s="3">
        <v>45962.323617696762</v>
      </c>
      <c r="C22" s="2" t="s">
        <v>100</v>
      </c>
      <c r="D22" s="2" t="s">
        <v>101</v>
      </c>
      <c r="E22" s="2" t="s">
        <v>8</v>
      </c>
      <c r="F22" s="2" t="s">
        <v>20</v>
      </c>
      <c r="G22" s="2" t="s">
        <v>10</v>
      </c>
      <c r="H22" s="4" t="s">
        <v>102</v>
      </c>
      <c r="I22" s="2">
        <v>4</v>
      </c>
      <c r="J22" s="4" t="s">
        <v>12</v>
      </c>
      <c r="K22" s="5" t="s">
        <v>103</v>
      </c>
      <c r="L22" s="4" t="s">
        <v>37</v>
      </c>
      <c r="M22" s="4" t="s">
        <v>38</v>
      </c>
      <c r="N22" s="2" t="s">
        <v>16</v>
      </c>
      <c r="O22" s="2">
        <v>4</v>
      </c>
    </row>
    <row r="23" spans="1:15" ht="13.2" x14ac:dyDescent="0.25">
      <c r="A23" s="12">
        <v>20</v>
      </c>
      <c r="B23" s="3">
        <v>45962.389586562502</v>
      </c>
      <c r="C23" s="2" t="s">
        <v>104</v>
      </c>
      <c r="D23" s="2" t="s">
        <v>105</v>
      </c>
      <c r="E23" s="2" t="s">
        <v>8</v>
      </c>
      <c r="F23" s="2" t="s">
        <v>20</v>
      </c>
      <c r="G23" s="2" t="s">
        <v>10</v>
      </c>
      <c r="H23" s="4" t="s">
        <v>106</v>
      </c>
      <c r="I23" s="2">
        <v>2</v>
      </c>
      <c r="J23" s="4" t="s">
        <v>22</v>
      </c>
      <c r="K23" s="4"/>
      <c r="L23" s="4" t="s">
        <v>63</v>
      </c>
      <c r="M23" s="4" t="s">
        <v>107</v>
      </c>
      <c r="N23" s="2" t="s">
        <v>49</v>
      </c>
      <c r="O23" s="2"/>
    </row>
    <row r="24" spans="1:15" ht="39.6" x14ac:dyDescent="0.25">
      <c r="A24" s="12">
        <v>21</v>
      </c>
      <c r="B24" s="3">
        <v>45962.637552164349</v>
      </c>
      <c r="C24" s="2" t="s">
        <v>108</v>
      </c>
      <c r="D24" s="2" t="s">
        <v>109</v>
      </c>
      <c r="E24" s="2" t="s">
        <v>8</v>
      </c>
      <c r="F24" s="2" t="s">
        <v>20</v>
      </c>
      <c r="G24" s="2" t="s">
        <v>35</v>
      </c>
      <c r="H24" s="4" t="s">
        <v>110</v>
      </c>
      <c r="I24" s="2">
        <v>1</v>
      </c>
      <c r="J24" s="4" t="s">
        <v>22</v>
      </c>
      <c r="K24" s="4"/>
      <c r="L24" s="4" t="s">
        <v>14</v>
      </c>
      <c r="M24" s="4" t="s">
        <v>111</v>
      </c>
      <c r="N24" s="2" t="s">
        <v>16</v>
      </c>
      <c r="O24" s="2">
        <v>4</v>
      </c>
    </row>
    <row r="25" spans="1:15" ht="13.2" x14ac:dyDescent="0.25">
      <c r="A25" s="12">
        <v>22</v>
      </c>
      <c r="B25" s="3">
        <v>45963.031692534722</v>
      </c>
      <c r="C25" s="2" t="s">
        <v>112</v>
      </c>
      <c r="D25" s="2" t="s">
        <v>113</v>
      </c>
      <c r="E25" s="2" t="s">
        <v>19</v>
      </c>
      <c r="F25" s="2" t="s">
        <v>9</v>
      </c>
      <c r="G25" s="2" t="s">
        <v>57</v>
      </c>
      <c r="H25" s="4" t="s">
        <v>114</v>
      </c>
      <c r="I25" s="2">
        <v>4</v>
      </c>
      <c r="J25" s="4" t="s">
        <v>12</v>
      </c>
      <c r="K25" s="4"/>
      <c r="L25" s="4" t="s">
        <v>63</v>
      </c>
      <c r="M25" s="4" t="s">
        <v>115</v>
      </c>
      <c r="N25" s="2" t="s">
        <v>16</v>
      </c>
      <c r="O25" s="2">
        <v>5</v>
      </c>
    </row>
    <row r="26" spans="1:15" ht="13.2" x14ac:dyDescent="0.25">
      <c r="A26" s="12">
        <v>23</v>
      </c>
      <c r="B26" s="3">
        <v>45963.501053842592</v>
      </c>
      <c r="C26" s="2" t="s">
        <v>116</v>
      </c>
      <c r="D26" s="2" t="s">
        <v>117</v>
      </c>
      <c r="E26" s="2" t="s">
        <v>34</v>
      </c>
      <c r="F26" s="2" t="s">
        <v>20</v>
      </c>
      <c r="G26" s="2" t="s">
        <v>10</v>
      </c>
      <c r="H26" s="4" t="s">
        <v>118</v>
      </c>
      <c r="I26" s="2">
        <v>5</v>
      </c>
      <c r="J26" s="4" t="s">
        <v>28</v>
      </c>
      <c r="K26" s="4"/>
      <c r="L26" s="4" t="s">
        <v>29</v>
      </c>
      <c r="M26" s="4" t="s">
        <v>119</v>
      </c>
      <c r="N26" s="2" t="s">
        <v>16</v>
      </c>
      <c r="O26" s="2">
        <v>3</v>
      </c>
    </row>
    <row r="27" spans="1:15" ht="13.2" x14ac:dyDescent="0.25">
      <c r="A27" s="12">
        <v>24</v>
      </c>
      <c r="B27" s="3">
        <v>45963.545100023148</v>
      </c>
      <c r="C27" s="2" t="s">
        <v>120</v>
      </c>
      <c r="D27" s="2" t="s">
        <v>121</v>
      </c>
      <c r="E27" s="2" t="s">
        <v>34</v>
      </c>
      <c r="F27" s="2" t="s">
        <v>9</v>
      </c>
      <c r="G27" s="2" t="s">
        <v>35</v>
      </c>
      <c r="H27" s="4" t="s">
        <v>122</v>
      </c>
      <c r="I27" s="2">
        <v>1</v>
      </c>
      <c r="J27" s="4" t="s">
        <v>12</v>
      </c>
      <c r="K27" s="4"/>
      <c r="L27" s="4" t="s">
        <v>14</v>
      </c>
      <c r="M27" s="4" t="s">
        <v>123</v>
      </c>
      <c r="N27" s="2" t="s">
        <v>49</v>
      </c>
      <c r="O27" s="2">
        <v>5</v>
      </c>
    </row>
    <row r="28" spans="1:15" ht="13.2" x14ac:dyDescent="0.25">
      <c r="A28" s="12">
        <v>25</v>
      </c>
      <c r="B28" s="3">
        <v>45963.545995081018</v>
      </c>
      <c r="C28" s="2" t="s">
        <v>124</v>
      </c>
      <c r="D28" s="2" t="s">
        <v>125</v>
      </c>
      <c r="E28" s="2" t="s">
        <v>34</v>
      </c>
      <c r="F28" s="2" t="s">
        <v>20</v>
      </c>
      <c r="G28" s="2" t="s">
        <v>10</v>
      </c>
      <c r="H28" s="4" t="s">
        <v>126</v>
      </c>
      <c r="I28" s="2">
        <v>3</v>
      </c>
      <c r="J28" s="4" t="s">
        <v>22</v>
      </c>
      <c r="K28" s="4"/>
      <c r="L28" s="4" t="s">
        <v>14</v>
      </c>
      <c r="M28" s="4" t="s">
        <v>127</v>
      </c>
      <c r="N28" s="2" t="s">
        <v>31</v>
      </c>
      <c r="O28" s="2">
        <v>2</v>
      </c>
    </row>
    <row r="29" spans="1:15" ht="13.2" x14ac:dyDescent="0.25">
      <c r="A29" s="12">
        <v>26</v>
      </c>
      <c r="B29" s="3">
        <v>45963.546014918982</v>
      </c>
      <c r="C29" s="2" t="s">
        <v>128</v>
      </c>
      <c r="D29" s="2" t="s">
        <v>129</v>
      </c>
      <c r="E29" s="2" t="s">
        <v>26</v>
      </c>
      <c r="F29" s="2" t="s">
        <v>9</v>
      </c>
      <c r="G29" s="2" t="s">
        <v>130</v>
      </c>
      <c r="H29" s="4" t="s">
        <v>131</v>
      </c>
      <c r="I29" s="2">
        <v>1</v>
      </c>
      <c r="J29" s="4" t="s">
        <v>12</v>
      </c>
      <c r="K29" s="4"/>
      <c r="L29" s="4" t="s">
        <v>14</v>
      </c>
      <c r="M29" s="4" t="s">
        <v>132</v>
      </c>
      <c r="N29" s="2" t="s">
        <v>31</v>
      </c>
      <c r="O29" s="2">
        <v>5</v>
      </c>
    </row>
    <row r="30" spans="1:15" ht="13.2" x14ac:dyDescent="0.25">
      <c r="A30" s="12">
        <v>27</v>
      </c>
      <c r="B30" s="3">
        <v>45963.549892800926</v>
      </c>
      <c r="C30" s="2" t="s">
        <v>133</v>
      </c>
      <c r="D30" s="2" t="s">
        <v>134</v>
      </c>
      <c r="E30" s="2" t="s">
        <v>8</v>
      </c>
      <c r="F30" s="2" t="s">
        <v>20</v>
      </c>
      <c r="G30" s="2" t="s">
        <v>10</v>
      </c>
      <c r="H30" s="4" t="s">
        <v>135</v>
      </c>
      <c r="I30" s="2">
        <v>3</v>
      </c>
      <c r="J30" s="4" t="s">
        <v>28</v>
      </c>
      <c r="K30" s="4"/>
      <c r="L30" s="4" t="s">
        <v>14</v>
      </c>
      <c r="M30" s="4" t="s">
        <v>136</v>
      </c>
      <c r="N30" s="2" t="s">
        <v>16</v>
      </c>
      <c r="O30" s="2">
        <v>3</v>
      </c>
    </row>
    <row r="31" spans="1:15" ht="13.2" x14ac:dyDescent="0.25">
      <c r="A31" s="12">
        <v>28</v>
      </c>
      <c r="B31" s="3">
        <v>45963.55406012731</v>
      </c>
      <c r="C31" s="2" t="s">
        <v>137</v>
      </c>
      <c r="D31" s="2" t="s">
        <v>138</v>
      </c>
      <c r="E31" s="2" t="s">
        <v>34</v>
      </c>
      <c r="F31" s="2" t="s">
        <v>9</v>
      </c>
      <c r="G31" s="2" t="s">
        <v>130</v>
      </c>
      <c r="H31" s="4" t="s">
        <v>139</v>
      </c>
      <c r="I31" s="2">
        <v>3</v>
      </c>
      <c r="J31" s="4" t="s">
        <v>12</v>
      </c>
      <c r="K31" s="4"/>
      <c r="L31" s="4" t="s">
        <v>14</v>
      </c>
      <c r="M31" s="4" t="s">
        <v>140</v>
      </c>
      <c r="N31" s="2" t="s">
        <v>16</v>
      </c>
      <c r="O31" s="2">
        <v>5</v>
      </c>
    </row>
    <row r="32" spans="1:15" ht="26.4" x14ac:dyDescent="0.25">
      <c r="A32" s="12">
        <v>29</v>
      </c>
      <c r="B32" s="3">
        <v>45963.983024594912</v>
      </c>
      <c r="C32" s="2" t="s">
        <v>141</v>
      </c>
      <c r="D32" s="2" t="s">
        <v>142</v>
      </c>
      <c r="E32" s="2" t="s">
        <v>34</v>
      </c>
      <c r="F32" s="2" t="s">
        <v>9</v>
      </c>
      <c r="G32" s="2" t="s">
        <v>57</v>
      </c>
      <c r="H32" s="4" t="s">
        <v>143</v>
      </c>
      <c r="I32" s="2">
        <v>1</v>
      </c>
      <c r="J32" s="4" t="s">
        <v>22</v>
      </c>
      <c r="K32" s="4"/>
      <c r="L32" s="4" t="s">
        <v>37</v>
      </c>
      <c r="M32" s="4" t="s">
        <v>144</v>
      </c>
      <c r="N32" s="2" t="s">
        <v>44</v>
      </c>
      <c r="O32" s="2">
        <v>1</v>
      </c>
    </row>
    <row r="33" spans="1:15" ht="13.2" x14ac:dyDescent="0.25">
      <c r="A33" s="27"/>
      <c r="B33" s="28"/>
      <c r="C33" s="28"/>
      <c r="D33" s="28"/>
      <c r="E33" s="28"/>
      <c r="F33" s="28"/>
      <c r="G33" s="28"/>
      <c r="H33" s="31" t="s">
        <v>156</v>
      </c>
      <c r="I33" s="30">
        <f>SUM(I4:I32)</f>
        <v>74</v>
      </c>
      <c r="J33" s="29"/>
      <c r="K33" s="29"/>
      <c r="L33" s="29"/>
      <c r="M33" s="29"/>
      <c r="N33" s="32" t="s">
        <v>155</v>
      </c>
      <c r="O33" s="33">
        <f>AVERAGE(O4:O32)</f>
        <v>3.4814814814814814</v>
      </c>
    </row>
    <row r="34" spans="1:15" ht="13.2" x14ac:dyDescent="0.25">
      <c r="A34" s="13"/>
      <c r="B34" s="6"/>
      <c r="C34" s="6"/>
      <c r="E34" s="6"/>
      <c r="F34" s="6"/>
      <c r="G34" s="6"/>
      <c r="H34" s="7"/>
      <c r="J34" s="7"/>
      <c r="K34" s="7"/>
      <c r="L34" s="7"/>
      <c r="M34" s="7"/>
      <c r="N34" s="6"/>
      <c r="O34" s="6"/>
    </row>
    <row r="35" spans="1:15" ht="13.2" x14ac:dyDescent="0.25">
      <c r="A35" s="13"/>
      <c r="B35" s="6"/>
      <c r="C35" s="26"/>
      <c r="E35" s="6"/>
      <c r="F35" s="6"/>
      <c r="G35" s="6"/>
      <c r="H35" s="7"/>
      <c r="J35" s="7"/>
      <c r="K35" s="7"/>
      <c r="L35" s="7"/>
      <c r="M35" s="7"/>
      <c r="N35" s="6"/>
      <c r="O35" s="6"/>
    </row>
    <row r="36" spans="1:15" ht="13.2" x14ac:dyDescent="0.25">
      <c r="A36" s="13"/>
      <c r="B36" s="6"/>
      <c r="E36" s="6"/>
      <c r="F36" s="6"/>
      <c r="G36" s="6"/>
      <c r="H36" s="7"/>
      <c r="J36" s="7"/>
      <c r="K36" s="7"/>
      <c r="M36" s="7"/>
      <c r="N36" s="6"/>
      <c r="O36" s="6"/>
    </row>
    <row r="37" spans="1:15" ht="13.2" x14ac:dyDescent="0.25">
      <c r="A37" s="13"/>
      <c r="B37" s="6"/>
      <c r="E37" s="6"/>
      <c r="F37" s="6"/>
      <c r="G37" s="6"/>
      <c r="H37" s="7"/>
      <c r="J37" s="7"/>
      <c r="K37" s="7"/>
      <c r="M37" s="7"/>
      <c r="N37" s="6"/>
      <c r="O37" s="6"/>
    </row>
    <row r="38" spans="1:15" ht="13.2" x14ac:dyDescent="0.25">
      <c r="A38" s="13"/>
      <c r="B38" s="6"/>
      <c r="E38" s="6"/>
      <c r="F38" s="6"/>
      <c r="G38" s="6"/>
      <c r="H38" s="7"/>
      <c r="J38" s="7"/>
      <c r="K38" s="7"/>
      <c r="M38" s="7"/>
      <c r="N38" s="6"/>
      <c r="O38" s="6"/>
    </row>
    <row r="39" spans="1:15" ht="13.2" x14ac:dyDescent="0.25">
      <c r="A39" s="13"/>
      <c r="B39" s="6"/>
      <c r="E39" s="6"/>
      <c r="G39" s="6"/>
      <c r="H39" s="8"/>
      <c r="J39" s="7"/>
      <c r="K39" s="7"/>
      <c r="M39" s="7"/>
      <c r="N39" s="6"/>
      <c r="O39" s="6"/>
    </row>
    <row r="40" spans="1:15" ht="13.2" x14ac:dyDescent="0.25">
      <c r="A40" s="13"/>
      <c r="B40" s="6"/>
      <c r="E40" s="6"/>
      <c r="F40"/>
      <c r="H40" s="8"/>
      <c r="J40" s="7"/>
      <c r="K40" s="7"/>
      <c r="N40" s="6"/>
      <c r="O40" s="6"/>
    </row>
    <row r="41" spans="1:15" ht="13.2" x14ac:dyDescent="0.25">
      <c r="A41" s="13"/>
      <c r="B41" s="6"/>
      <c r="E41" s="6"/>
      <c r="H41" s="8"/>
      <c r="J41" s="7"/>
      <c r="K41" s="7"/>
      <c r="N41" s="6"/>
      <c r="O41" s="6"/>
    </row>
    <row r="42" spans="1:15" ht="13.2" x14ac:dyDescent="0.25">
      <c r="A42" s="13"/>
      <c r="B42" s="6"/>
      <c r="E42" s="6"/>
      <c r="H42" s="8"/>
      <c r="J42" s="7"/>
      <c r="K42" s="7"/>
      <c r="N42" s="6"/>
      <c r="O42" s="6"/>
    </row>
    <row r="43" spans="1:15" ht="13.2" x14ac:dyDescent="0.25">
      <c r="A43" s="13"/>
      <c r="B43" s="6"/>
      <c r="E43" s="6"/>
      <c r="H43" s="8"/>
      <c r="J43" s="7"/>
      <c r="K43" s="7"/>
      <c r="N43" s="6"/>
      <c r="O43" s="6"/>
    </row>
    <row r="44" spans="1:15" ht="13.2" x14ac:dyDescent="0.25">
      <c r="A44" s="13"/>
      <c r="B44" s="6"/>
      <c r="E44" s="6"/>
      <c r="H44" s="8"/>
      <c r="J44" s="7"/>
      <c r="N44" s="6"/>
      <c r="O44" s="6"/>
    </row>
    <row r="45" spans="1:15" ht="13.2" x14ac:dyDescent="0.25">
      <c r="A45" s="13"/>
      <c r="B45" s="6"/>
      <c r="E45" s="6"/>
      <c r="H45" s="8"/>
      <c r="J45" s="7"/>
      <c r="N45" s="6"/>
      <c r="O45" s="6"/>
    </row>
    <row r="46" spans="1:15" ht="13.2" x14ac:dyDescent="0.25">
      <c r="A46" s="13"/>
      <c r="B46" s="6"/>
      <c r="E46" s="6"/>
      <c r="H46" s="8"/>
      <c r="J46" s="7"/>
      <c r="N46" s="6"/>
      <c r="O46" s="6"/>
    </row>
    <row r="47" spans="1:15" ht="13.2" x14ac:dyDescent="0.25">
      <c r="A47" s="13"/>
      <c r="B47" s="6"/>
      <c r="E47" s="6"/>
      <c r="H47" s="8"/>
      <c r="J47" s="7"/>
      <c r="N47" s="6"/>
      <c r="O47" s="6"/>
    </row>
    <row r="48" spans="1:15" ht="13.2" x14ac:dyDescent="0.25">
      <c r="A48" s="6"/>
      <c r="B48" s="6"/>
      <c r="E48" s="6"/>
      <c r="H48" s="8"/>
      <c r="J48" s="7"/>
      <c r="N48" s="6"/>
      <c r="O48" s="6"/>
    </row>
    <row r="49" spans="1:15" ht="13.2" x14ac:dyDescent="0.25">
      <c r="A49" s="6"/>
      <c r="B49" s="6"/>
      <c r="E49" s="6"/>
      <c r="H49" s="8"/>
      <c r="J49" s="7"/>
      <c r="N49" s="6"/>
      <c r="O49" s="6"/>
    </row>
    <row r="50" spans="1:15" ht="13.2" x14ac:dyDescent="0.25">
      <c r="A50" s="6"/>
      <c r="B50" s="6"/>
      <c r="E50" s="6"/>
      <c r="H50" s="8"/>
      <c r="J50" s="7"/>
      <c r="N50" s="6"/>
      <c r="O50" s="6"/>
    </row>
    <row r="51" spans="1:15" ht="13.2" x14ac:dyDescent="0.25">
      <c r="A51" s="6"/>
      <c r="B51" s="6"/>
      <c r="E51" s="6"/>
      <c r="H51" s="8"/>
      <c r="J51" s="7"/>
      <c r="N51" s="6"/>
      <c r="O51" s="6"/>
    </row>
    <row r="52" spans="1:15" ht="13.2" x14ac:dyDescent="0.25">
      <c r="A52" s="6"/>
      <c r="B52" s="6"/>
      <c r="E52" s="6"/>
      <c r="H52" s="8"/>
      <c r="J52" s="7"/>
      <c r="N52" s="6"/>
      <c r="O52" s="6"/>
    </row>
    <row r="53" spans="1:15" ht="13.2" x14ac:dyDescent="0.25">
      <c r="A53" s="6"/>
      <c r="B53" s="6"/>
      <c r="E53" s="6"/>
      <c r="H53" s="8"/>
      <c r="J53" s="7"/>
      <c r="N53" s="6"/>
      <c r="O53" s="6"/>
    </row>
    <row r="54" spans="1:15" ht="13.2" x14ac:dyDescent="0.25">
      <c r="A54" s="6"/>
      <c r="B54" s="6"/>
      <c r="E54" s="6"/>
      <c r="H54" s="8"/>
      <c r="J54" s="7"/>
      <c r="N54" s="6"/>
      <c r="O54" s="6"/>
    </row>
    <row r="55" spans="1:15" ht="13.2" x14ac:dyDescent="0.25">
      <c r="A55" s="6"/>
      <c r="B55" s="6"/>
      <c r="H55" s="8"/>
      <c r="J55" s="7"/>
      <c r="N55" s="6"/>
      <c r="O55" s="6"/>
    </row>
    <row r="56" spans="1:15" ht="13.2" x14ac:dyDescent="0.25">
      <c r="A56" s="6"/>
      <c r="B56" s="6"/>
      <c r="H56" s="8"/>
      <c r="J56" s="7"/>
      <c r="N56" s="6"/>
      <c r="O56" s="6"/>
    </row>
    <row r="57" spans="1:15" ht="13.2" x14ac:dyDescent="0.25">
      <c r="H57" s="8"/>
      <c r="J57" s="7"/>
      <c r="N57" s="6"/>
      <c r="O57" s="6"/>
    </row>
    <row r="58" spans="1:15" ht="13.2" x14ac:dyDescent="0.25">
      <c r="H58" s="8"/>
      <c r="J58" s="7"/>
      <c r="N58" s="6"/>
      <c r="O58" s="6"/>
    </row>
    <row r="59" spans="1:15" ht="13.2" x14ac:dyDescent="0.25">
      <c r="H59" s="8"/>
      <c r="J59" s="7"/>
      <c r="N59" s="6"/>
      <c r="O59" s="6"/>
    </row>
    <row r="60" spans="1:15" ht="13.2" x14ac:dyDescent="0.25">
      <c r="H60" s="8"/>
      <c r="J60" s="7"/>
      <c r="N60" s="6"/>
      <c r="O60" s="6"/>
    </row>
    <row r="61" spans="1:15" ht="13.2" x14ac:dyDescent="0.25">
      <c r="H61" s="8"/>
      <c r="J61" s="7"/>
      <c r="N61" s="6"/>
      <c r="O61" s="6"/>
    </row>
    <row r="62" spans="1:15" ht="13.2" x14ac:dyDescent="0.25">
      <c r="H62" s="8"/>
      <c r="J62" s="7"/>
      <c r="N62" s="6"/>
      <c r="O62" s="6"/>
    </row>
    <row r="63" spans="1:15" ht="13.2" x14ac:dyDescent="0.25">
      <c r="H63" s="8"/>
      <c r="J63" s="7"/>
      <c r="N63" s="6"/>
    </row>
    <row r="64" spans="1:15" ht="13.2" x14ac:dyDescent="0.25">
      <c r="H64" s="8"/>
      <c r="J64" s="7"/>
      <c r="N64" s="6"/>
    </row>
    <row r="65" spans="8:14" ht="13.2" x14ac:dyDescent="0.25">
      <c r="H65" s="8"/>
      <c r="J65" s="7"/>
      <c r="N65" s="6"/>
    </row>
    <row r="66" spans="8:14" ht="13.2" x14ac:dyDescent="0.25">
      <c r="H66" s="8"/>
      <c r="J66" s="7"/>
      <c r="N66" s="6"/>
    </row>
    <row r="67" spans="8:14" ht="13.2" x14ac:dyDescent="0.25">
      <c r="H67" s="8"/>
      <c r="J67" s="7"/>
      <c r="N67" s="6"/>
    </row>
    <row r="68" spans="8:14" ht="13.2" x14ac:dyDescent="0.25">
      <c r="H68" s="8"/>
      <c r="J68" s="7"/>
      <c r="N68" s="6"/>
    </row>
    <row r="69" spans="8:14" ht="13.2" x14ac:dyDescent="0.25">
      <c r="H69" s="8"/>
      <c r="J69" s="7"/>
      <c r="N69" s="6"/>
    </row>
    <row r="70" spans="8:14" ht="13.2" x14ac:dyDescent="0.25">
      <c r="H70" s="8"/>
      <c r="J70" s="7"/>
      <c r="N70" s="6"/>
    </row>
    <row r="71" spans="8:14" ht="13.2" x14ac:dyDescent="0.25">
      <c r="H71" s="8"/>
      <c r="J71" s="7"/>
      <c r="N71" s="6"/>
    </row>
    <row r="72" spans="8:14" ht="13.2" x14ac:dyDescent="0.25">
      <c r="H72" s="8"/>
      <c r="J72" s="7"/>
    </row>
    <row r="73" spans="8:14" ht="13.2" x14ac:dyDescent="0.25">
      <c r="H73" s="8"/>
      <c r="J73" s="7"/>
    </row>
    <row r="74" spans="8:14" ht="13.2" x14ac:dyDescent="0.25">
      <c r="H74" s="8"/>
    </row>
    <row r="75" spans="8:14" ht="13.2" x14ac:dyDescent="0.25">
      <c r="H75" s="8"/>
    </row>
    <row r="76" spans="8:14" ht="13.2" x14ac:dyDescent="0.25">
      <c r="H76" s="8"/>
    </row>
    <row r="77" spans="8:14" ht="13.2" x14ac:dyDescent="0.25">
      <c r="H77" s="8"/>
    </row>
    <row r="78" spans="8:14" ht="13.2" x14ac:dyDescent="0.25">
      <c r="H78" s="8"/>
    </row>
    <row r="79" spans="8:14" ht="13.2" x14ac:dyDescent="0.25">
      <c r="H79" s="8"/>
    </row>
    <row r="80" spans="8:14"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10" ht="13.2" x14ac:dyDescent="0.25">
      <c r="H97" s="8"/>
      <c r="J97"/>
    </row>
    <row r="98" spans="8:10" ht="13.2" x14ac:dyDescent="0.25">
      <c r="H98" s="8"/>
    </row>
    <row r="99" spans="8:10" ht="13.2" x14ac:dyDescent="0.25">
      <c r="H99" s="8"/>
    </row>
    <row r="100" spans="8:10" ht="13.2" x14ac:dyDescent="0.25">
      <c r="H100" s="8"/>
    </row>
    <row r="101" spans="8:10" ht="13.2" x14ac:dyDescent="0.25">
      <c r="H101" s="8"/>
    </row>
    <row r="102" spans="8:10" ht="13.2" x14ac:dyDescent="0.25">
      <c r="H102" s="8"/>
    </row>
    <row r="103" spans="8:10" ht="13.2" x14ac:dyDescent="0.25">
      <c r="H103" s="8"/>
    </row>
    <row r="104" spans="8:10" ht="13.2" x14ac:dyDescent="0.25">
      <c r="H104" s="8"/>
    </row>
    <row r="105" spans="8:10" ht="13.2" x14ac:dyDescent="0.25">
      <c r="H105" s="8"/>
    </row>
    <row r="106" spans="8:10" ht="13.2" x14ac:dyDescent="0.25">
      <c r="H106" s="8"/>
    </row>
    <row r="107" spans="8:10" ht="13.2" x14ac:dyDescent="0.25">
      <c r="H107" s="8"/>
    </row>
    <row r="108" spans="8:10" ht="13.2" x14ac:dyDescent="0.25">
      <c r="H108" s="8"/>
    </row>
    <row r="109" spans="8:10" ht="13.2" x14ac:dyDescent="0.25">
      <c r="H109" s="8"/>
    </row>
    <row r="110" spans="8:10" ht="13.2" x14ac:dyDescent="0.25">
      <c r="H110" s="8"/>
    </row>
    <row r="111" spans="8:10" ht="13.2" x14ac:dyDescent="0.25">
      <c r="H111" s="8"/>
    </row>
    <row r="112" spans="8:10"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51" spans="10:10" ht="15.75" customHeight="1" x14ac:dyDescent="0.25">
      <c r="J151"/>
    </row>
    <row r="196" spans="10:10" ht="15.75" customHeight="1" x14ac:dyDescent="0.25">
      <c r="J196"/>
    </row>
    <row r="249" spans="10:10" ht="15.75" customHeight="1" x14ac:dyDescent="0.25">
      <c r="J249"/>
    </row>
    <row r="295" spans="10:10" ht="15.75" customHeight="1" x14ac:dyDescent="0.25">
      <c r="J295"/>
    </row>
    <row r="340" spans="10:10" ht="15.75" customHeight="1" x14ac:dyDescent="0.25">
      <c r="J340"/>
    </row>
    <row r="392" spans="10:10" ht="15.75" customHeight="1" x14ac:dyDescent="0.25">
      <c r="J392"/>
    </row>
    <row r="437" spans="10:10" ht="15.75" customHeight="1" x14ac:dyDescent="0.25">
      <c r="J437"/>
    </row>
  </sheetData>
  <mergeCells count="1">
    <mergeCell ref="A1:O2"/>
  </mergeCells>
  <conditionalFormatting sqref="E4">
    <cfRule type="colorScale" priority="1">
      <colorScale>
        <cfvo type="min"/>
        <cfvo type="percentile" val="50"/>
        <cfvo type="max"/>
        <color rgb="FF63BE7B"/>
        <color rgb="FFFFEB84"/>
        <color rgb="FFF8696B"/>
      </colorScale>
    </cfRule>
    <cfRule type="colorScale" priority="2">
      <colorScale>
        <cfvo type="min"/>
        <cfvo type="max"/>
        <color rgb="FFFF7128"/>
        <color rgb="FFFFEF9C"/>
      </colorScale>
    </cfRule>
  </conditionalFormatting>
  <hyperlinks>
    <hyperlink ref="K4" r:id="rId1" xr:uid="{00000000-0004-0000-0000-000000000000}"/>
    <hyperlink ref="K22" r:id="rId2" xr:uid="{00000000-0004-0000-0000-000001000000}"/>
  </hyperlinks>
  <pageMargins left="0.7" right="0.7" top="0.75" bottom="0.75" header="0.3" footer="0.3"/>
  <pageSetup orientation="portrait" r:id="rId3"/>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 C</dc:creator>
  <cp:lastModifiedBy>Mian Abdul Mateen</cp:lastModifiedBy>
  <dcterms:created xsi:type="dcterms:W3CDTF">2025-11-03T18:06:49Z</dcterms:created>
  <dcterms:modified xsi:type="dcterms:W3CDTF">2025-11-14T17:32:03Z</dcterms:modified>
</cp:coreProperties>
</file>